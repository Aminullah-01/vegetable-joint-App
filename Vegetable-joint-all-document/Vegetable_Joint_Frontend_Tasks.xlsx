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Frontend Tasks" sheetId="1" state="visible" r:id="rId3"/>
    <sheet name="Summary" sheetId="2" state="visible" r:id="rId4"/>
    <sheet name="How to Use" sheetId="3" state="visible" r:id="rId5"/>
  </sheets>
  <definedNames>
    <definedName function="false" hidden="true" localSheetId="0" name="_xlnm._FilterDatabase" vbProcedure="false">'Frontend Tasks'!$A$1:$J$126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<sst xmlns="http://schemas.openxmlformats.org/spreadsheetml/2006/main" count="951" uniqueCount="554">
  <si>
    <t xml:space="preserve">Task ID</t>
  </si>
  <si>
    <t xml:space="preserve">Module</t>
  </si>
  <si>
    <t xml:space="preserve">Task</t>
  </si>
  <si>
    <t xml:space="preserve">Details / Acceptance criteria</t>
  </si>
  <si>
    <t xml:space="preserve">SRS Ref</t>
  </si>
  <si>
    <t xml:space="preserve">Priority</t>
  </si>
  <si>
    <t xml:space="preserve">Status</t>
  </si>
  <si>
    <t xml:space="preserve">Done By</t>
  </si>
  <si>
    <t xml:space="preserve">Date Done</t>
  </si>
  <si>
    <t xml:space="preserve">Notes</t>
  </si>
  <si>
    <t xml:space="preserve">FE-001</t>
  </si>
  <si>
    <t xml:space="preserve">1. Setup &amp; Foundation</t>
  </si>
  <si>
    <t xml:space="preserve">Initialise React project and folder structure</t>
  </si>
  <si>
    <t xml:space="preserve">Vite + React app with assets, components, pages, services, data, hooks, context, routes, utils folders. App runs with npm run dev.</t>
  </si>
  <si>
    <t xml:space="preserve">CON-01, NFR-MAIN-01</t>
  </si>
  <si>
    <t xml:space="preserve">Must</t>
  </si>
  <si>
    <t xml:space="preserve">Not Started</t>
  </si>
  <si>
    <t xml:space="preserve">FE-002</t>
  </si>
  <si>
    <t xml:space="preserve">Configure ESLint, Prettier and pre-commit checks</t>
  </si>
  <si>
    <t xml:space="preserve">Lint and format scripts pass on a clean checkout; hook blocks commits that fail lint.</t>
  </si>
  <si>
    <t xml:space="preserve">NFR-MAIN-03</t>
  </si>
  <si>
    <t xml:space="preserve">Should</t>
  </si>
  <si>
    <t xml:space="preserve">FE-003</t>
  </si>
  <si>
    <t xml:space="preserve">Environment configuration</t>
  </si>
  <si>
    <t xml:space="preserve">Create .env.example with API base URL and a mock/API switch. No secrets committed.</t>
  </si>
  <si>
    <t xml:space="preserve">NFR-MAIN-02, NFR-SEC-09</t>
  </si>
  <si>
    <t xml:space="preserve">FE-004</t>
  </si>
  <si>
    <t xml:space="preserve">Set up routing with full route map</t>
  </si>
  <si>
    <t xml:space="preserve">React Router routes for public, buyer, seller, admin and error pages exactly as in SRS 4.1.2.</t>
  </si>
  <si>
    <t xml:space="preserve">SRS 4.1.2</t>
  </si>
  <si>
    <t xml:space="preserve">FE-005</t>
  </si>
  <si>
    <t xml:space="preserve">Design tokens and global styles</t>
  </si>
  <si>
    <t xml:space="preserve">Colours, typography, spacing, breakpoints defined once; consistent across all roles.</t>
  </si>
  <si>
    <t xml:space="preserve">UI-02</t>
  </si>
  <si>
    <t xml:space="preserve">FE-006</t>
  </si>
  <si>
    <t xml:space="preserve">Responsive layout shell</t>
  </si>
  <si>
    <t xml:space="preserve">Layout works from 360 px to 1920 px with no horizontal page scroll (breakpoints 360/768/1024/1280).</t>
  </si>
  <si>
    <t xml:space="preserve">NFR-COMP-02, UI-04</t>
  </si>
  <si>
    <t xml:space="preserve">FE-007</t>
  </si>
  <si>
    <t xml:space="preserve">Formatting utilities (currency, dates)</t>
  </si>
  <si>
    <t xml:space="preserve">Prices show as ₦2,500 with unit; timestamps stored UTC, displayed Africa/Lagos.</t>
  </si>
  <si>
    <t xml:space="preserve">NFR-USAB-04, NFR-LOC-02</t>
  </si>
  <si>
    <t xml:space="preserve">FE-008</t>
  </si>
  <si>
    <t xml:space="preserve">UI strings/constants file</t>
  </si>
  <si>
    <t xml:space="preserve">User-facing text (incl. standard error messages) kept in one place so translation can be added later.</t>
  </si>
  <si>
    <t xml:space="preserve">NFR-LOC-01, ERR-01</t>
  </si>
  <si>
    <t xml:space="preserve">FE-009</t>
  </si>
  <si>
    <t xml:space="preserve">API client wrapper</t>
  </si>
  <si>
    <t xml:space="preserve">Base URL, Authorization header, JSON envelope handling, normalised errors (401/403/404/409/422/429/5xx).</t>
  </si>
  <si>
    <t xml:space="preserve">IF-01 to IF-05</t>
  </si>
  <si>
    <t xml:space="preserve">FE-010</t>
  </si>
  <si>
    <t xml:space="preserve">Service layer skeleton</t>
  </si>
  <si>
    <t xml:space="preserve">productService, categoryService, orderService, authService, sellerService, adminService; components never import mock data directly.</t>
  </si>
  <si>
    <t xml:space="preserve">CON-02</t>
  </si>
  <si>
    <t xml:space="preserve">FE-011</t>
  </si>
  <si>
    <t xml:space="preserve">Mock data conforming to API schema</t>
  </si>
  <si>
    <t xml:space="preserve">Mock products, sellers, categories, orders match the API/OpenAPI field names and shapes.</t>
  </si>
  <si>
    <t xml:space="preserve">IF-06, NFR-MAIN-05</t>
  </si>
  <si>
    <t xml:space="preserve">FE-012</t>
  </si>
  <si>
    <t xml:space="preserve">Mock/API switch</t>
  </si>
  <si>
    <t xml:space="preserve">One environment setting flips all services between mock data and the Laravel API with zero component changes.</t>
  </si>
  <si>
    <t xml:space="preserve">NFR-MAIN-02</t>
  </si>
  <si>
    <t xml:space="preserve">FE-013</t>
  </si>
  <si>
    <t xml:space="preserve">Auth context</t>
  </si>
  <si>
    <t xml:space="preserve">Holds user, role and token; login, logout, session restore on refresh.</t>
  </si>
  <si>
    <t xml:space="preserve">AUTH-04, AUTH-05</t>
  </si>
  <si>
    <t xml:space="preserve">FE-014</t>
  </si>
  <si>
    <t xml:space="preserve">Cart context with persistence</t>
  </si>
  <si>
    <t xml:space="preserve">Cart survives refresh and browser restart on the same device; storage calls wrapped in try/catch.</t>
  </si>
  <si>
    <t xml:space="preserve">CART-06</t>
  </si>
  <si>
    <t xml:space="preserve">FE-015</t>
  </si>
  <si>
    <t xml:space="preserve">Route guards (role-based)</t>
  </si>
  <si>
    <t xml:space="preserve">Buyer, Seller and Admin routes blocked for other roles; unauthenticated users sent to login and back.</t>
  </si>
  <si>
    <t xml:space="preserve">AUTH-07</t>
  </si>
  <si>
    <t xml:space="preserve">FE-016</t>
  </si>
  <si>
    <t xml:space="preserve">Error boundary and error pages</t>
  </si>
  <si>
    <t xml:space="preserve">Friendly 403, 404, 500 pages; session-expired prompt returns user to login and back.</t>
  </si>
  <si>
    <t xml:space="preserve">ERR-04</t>
  </si>
  <si>
    <t xml:space="preserve">FE-017</t>
  </si>
  <si>
    <t xml:space="preserve">Loading, empty and error state components</t>
  </si>
  <si>
    <t xml:space="preserve">Reusable spinner/skeleton, empty state, and “Unable to load… Try again” with retry.</t>
  </si>
  <si>
    <t xml:space="preserve">MKT-10, ERR-01</t>
  </si>
  <si>
    <t xml:space="preserve">FE-018</t>
  </si>
  <si>
    <t xml:space="preserve">Toast/notification component</t>
  </si>
  <si>
    <t xml:space="preserve">Success and error toasts used consistently across forms and actions.</t>
  </si>
  <si>
    <t xml:space="preserve">ERR-03</t>
  </si>
  <si>
    <t xml:space="preserve">FE-019</t>
  </si>
  <si>
    <t xml:space="preserve">Test framework setup</t>
  </si>
  <si>
    <t xml:space="preserve">Vitest/Jest and React Testing Library configured; sample test runs in CI.</t>
  </si>
  <si>
    <t xml:space="preserve">NFR-MAIN-04</t>
  </si>
  <si>
    <t xml:space="preserve">FE-020</t>
  </si>
  <si>
    <t xml:space="preserve">CI pipeline</t>
  </si>
  <si>
    <t xml:space="preserve">GitHub Actions runs lint, tests and build on every pull request.</t>
  </si>
  <si>
    <t xml:space="preserve">NFR-MAIN-07</t>
  </si>
  <si>
    <t xml:space="preserve">FE-021</t>
  </si>
  <si>
    <t xml:space="preserve">Route-level code splitting</t>
  </si>
  <si>
    <t xml:space="preserve">Seller and admin dashboards lazy-loaded; initial bundle ≤ 250 KB gzipped.</t>
  </si>
  <si>
    <t xml:space="preserve">NFR-PERF-01</t>
  </si>
  <si>
    <t xml:space="preserve">FE-022</t>
  </si>
  <si>
    <t xml:space="preserve">2. Shared Components</t>
  </si>
  <si>
    <t xml:space="preserve">Navbar</t>
  </si>
  <si>
    <t xml:space="preserve">Logo, search, categories link, cart with item count, login/register or account menu; options depend on role.</t>
  </si>
  <si>
    <t xml:space="preserve">UI-01, UI-07, CART-07</t>
  </si>
  <si>
    <t xml:space="preserve">FE-023</t>
  </si>
  <si>
    <t xml:space="preserve">Footer</t>
  </si>
  <si>
    <t xml:space="preserve">Marketplace info and links; content editable from admin settings later.</t>
  </si>
  <si>
    <t xml:space="preserve">MKT-01, ADM-08</t>
  </si>
  <si>
    <t xml:space="preserve">FE-024</t>
  </si>
  <si>
    <t xml:space="preserve">Form field components</t>
  </si>
  <si>
    <t xml:space="preserve">Input, select, textarea, checkbox with labels, inline validation messages, correct input types and autocomplete.</t>
  </si>
  <si>
    <t xml:space="preserve">UI-05, NFR-USAB-05</t>
  </si>
  <si>
    <t xml:space="preserve">FE-025</t>
  </si>
  <si>
    <t xml:space="preserve">Button and link components</t>
  </si>
  <si>
    <t xml:space="preserve">Primary/secondary/danger variants; disabled and loading states; touch targets ≥ 44×44 px.</t>
  </si>
  <si>
    <t xml:space="preserve">UI-03, NFR-USAB-03</t>
  </si>
  <si>
    <t xml:space="preserve">FE-026</t>
  </si>
  <si>
    <t xml:space="preserve">ProductCard</t>
  </si>
  <si>
    <t xml:space="preserve">Image, name, price with unit, seller, location, availability badge, rating, “View Product”.</t>
  </si>
  <si>
    <t xml:space="preserve">MKT-02, REV-01</t>
  </si>
  <si>
    <t xml:space="preserve">FE-027</t>
  </si>
  <si>
    <t xml:space="preserve">Availability badge</t>
  </si>
  <si>
    <t xml:space="preserve">Shows Available / Out of Stock / Unavailable from stock and availability flag.</t>
  </si>
  <si>
    <t xml:space="preserve">SEL-07, BR-01</t>
  </si>
  <si>
    <t xml:space="preserve">FE-028</t>
  </si>
  <si>
    <t xml:space="preserve">Rating display</t>
  </si>
  <si>
    <t xml:space="preserve">Shows 0–5 value with one decimal or “No ratings yet”.</t>
  </si>
  <si>
    <t xml:space="preserve">REV-01</t>
  </si>
  <si>
    <t xml:space="preserve">FE-029</t>
  </si>
  <si>
    <t xml:space="preserve">Pagination component</t>
  </si>
  <si>
    <t xml:space="preserve">Page controls tied to URL; default 12 per page.</t>
  </si>
  <si>
    <t xml:space="preserve">MKT-03</t>
  </si>
  <si>
    <t xml:space="preserve">FE-030</t>
  </si>
  <si>
    <t xml:space="preserve">Quantity selector</t>
  </si>
  <si>
    <t xml:space="preserve">Min 1, max available stock; disabled when out of stock.</t>
  </si>
  <si>
    <t xml:space="preserve">MKT-06, CART-02</t>
  </si>
  <si>
    <t xml:space="preserve">FE-031</t>
  </si>
  <si>
    <t xml:space="preserve">Category card/chip</t>
  </si>
  <si>
    <t xml:space="preserve">Used on homepage and filter panel; data-driven from API.</t>
  </si>
  <si>
    <t xml:space="preserve">MKT-08, MKT-09</t>
  </si>
  <si>
    <t xml:space="preserve">FE-032</t>
  </si>
  <si>
    <t xml:space="preserve">Seller card</t>
  </si>
  <si>
    <t xml:space="preserve">Business name, location, rating/summary, link to seller profile.</t>
  </si>
  <si>
    <t xml:space="preserve">MKT-01, MKT-07</t>
  </si>
  <si>
    <t xml:space="preserve">FE-033</t>
  </si>
  <si>
    <t xml:space="preserve">Search bar</t>
  </si>
  <si>
    <t xml:space="preserve">Keyword search with submit; used in navbar and hero.</t>
  </si>
  <si>
    <t xml:space="preserve">SRCH-01</t>
  </si>
  <si>
    <t xml:space="preserve">FE-034</t>
  </si>
  <si>
    <t xml:space="preserve">Filter panel</t>
  </si>
  <si>
    <t xml:space="preserve">Category, price range, availability, seller, location; collapsible on mobile.</t>
  </si>
  <si>
    <t xml:space="preserve">SRCH-02, SRCH-03</t>
  </si>
  <si>
    <t xml:space="preserve">FE-035</t>
  </si>
  <si>
    <t xml:space="preserve">Sort dropdown</t>
  </si>
  <si>
    <t xml:space="preserve">Price low→high, high→low, newest (popularity/rating when available).</t>
  </si>
  <si>
    <t xml:space="preserve">SRCH-04, SRCH-05</t>
  </si>
  <si>
    <t xml:space="preserve">FE-036</t>
  </si>
  <si>
    <t xml:space="preserve">Modal / confirm dialog</t>
  </si>
  <si>
    <t xml:space="preserve">Accessible dialog for delete, cancel and override confirmations.</t>
  </si>
  <si>
    <t xml:space="preserve">SEL-04, ORD-07</t>
  </si>
  <si>
    <t xml:space="preserve">FE-037</t>
  </si>
  <si>
    <t xml:space="preserve">Responsive data table</t>
  </si>
  <si>
    <t xml:space="preserve">Table that scrolls or turns into cards on tablets; used across dashboards.</t>
  </si>
  <si>
    <t xml:space="preserve">NFR-USAB-06</t>
  </si>
  <si>
    <t xml:space="preserve">FE-038</t>
  </si>
  <si>
    <t xml:space="preserve">Order status badge and timeline</t>
  </si>
  <si>
    <t xml:space="preserve">Colour-coded status badge; timeline of status history with timestamps.</t>
  </si>
  <si>
    <t xml:space="preserve">ORD-02, ORD-06</t>
  </si>
  <si>
    <t xml:space="preserve">FE-039</t>
  </si>
  <si>
    <t xml:space="preserve">Lazy image with placeholder</t>
  </si>
  <si>
    <t xml:space="preserve">Lazy-loads below the fold; default placeholder when image missing or fails.</t>
  </si>
  <si>
    <t xml:space="preserve">NFR-PERF-03, NFR-COMP-03, SEL-05</t>
  </si>
  <si>
    <t xml:space="preserve">FE-040</t>
  </si>
  <si>
    <t xml:space="preserve">Skeleton loaders</t>
  </si>
  <si>
    <t xml:space="preserve">Skeletons for product grid, tables and detail pages.</t>
  </si>
  <si>
    <t xml:space="preserve">MKT-10</t>
  </si>
  <si>
    <t xml:space="preserve">Could</t>
  </si>
  <si>
    <t xml:space="preserve">FE-041</t>
  </si>
  <si>
    <t xml:space="preserve">3. Public Pages</t>
  </si>
  <si>
    <t xml:space="preserve">Home: hero section with search</t>
  </si>
  <si>
    <t xml:space="preserve">Headline, call to action and search box.</t>
  </si>
  <si>
    <t xml:space="preserve">MKT-01</t>
  </si>
  <si>
    <t xml:space="preserve">FE-042</t>
  </si>
  <si>
    <t xml:space="preserve">Home: featured products section</t>
  </si>
  <si>
    <t xml:space="preserve">Grid of featured/latest products from the service layer.</t>
  </si>
  <si>
    <t xml:space="preserve">FE-043</t>
  </si>
  <si>
    <t xml:space="preserve">Home: categories section</t>
  </si>
  <si>
    <t xml:space="preserve">Category cards linking to filtered listing.</t>
  </si>
  <si>
    <t xml:space="preserve">MKT-01, MKT-08</t>
  </si>
  <si>
    <t xml:space="preserve">FE-044</t>
  </si>
  <si>
    <t xml:space="preserve">Home: featured sellers section</t>
  </si>
  <si>
    <t xml:space="preserve">Seller cards linking to seller profile.</t>
  </si>
  <si>
    <t xml:space="preserve">FE-045</t>
  </si>
  <si>
    <t xml:space="preserve">Home: how it works, benefits and CTA sections</t>
  </si>
  <si>
    <t xml:space="preserve">Static content sections per source design; responsive.</t>
  </si>
  <si>
    <t xml:space="preserve">FE-046</t>
  </si>
  <si>
    <t xml:space="preserve">Products listing page</t>
  </si>
  <si>
    <t xml:space="preserve">Paginated grid of ProductCards showing only publicly purchasable listings.</t>
  </si>
  <si>
    <t xml:space="preserve">MKT-02, MKT-03, MKT-04</t>
  </si>
  <si>
    <t xml:space="preserve">FE-047</t>
  </si>
  <si>
    <t xml:space="preserve">Search, filter and sort wired to URL</t>
  </si>
  <si>
    <t xml:space="preserve">Criteria combine and are reflected in the page URL so results can be bookmarked/shared.</t>
  </si>
  <si>
    <t xml:space="preserve">SRCH-01 to SRCH-06</t>
  </si>
  <si>
    <t xml:space="preserve">FE-048</t>
  </si>
  <si>
    <t xml:space="preserve">No-results state and clear filters</t>
  </si>
  <si>
    <t xml:space="preserve">“No results” message with one-click clear all filters.</t>
  </si>
  <si>
    <t xml:space="preserve">SRCH-07, SRCH-08</t>
  </si>
  <si>
    <t xml:space="preserve">FE-049</t>
  </si>
  <si>
    <t xml:space="preserve">Category browsing</t>
  </si>
  <si>
    <t xml:space="preserve">Browse by category from homepage and filter panel.</t>
  </si>
  <si>
    <t xml:space="preserve">MKT-08</t>
  </si>
  <si>
    <t xml:space="preserve">FE-050</t>
  </si>
  <si>
    <t xml:space="preserve">Product details page</t>
  </si>
  <si>
    <t xml:space="preserve">Name, image, description, price, unit, stock, seller, location, availability, rating.</t>
  </si>
  <si>
    <t xml:space="preserve">MKT-05</t>
  </si>
  <si>
    <t xml:space="preserve">FE-051</t>
  </si>
  <si>
    <t xml:space="preserve">Product details: add to cart</t>
  </si>
  <si>
    <t xml:space="preserve">Quantity selector limited to stock; disabled with “Out of Stock” when unavailable.</t>
  </si>
  <si>
    <t xml:space="preserve">MKT-06, CART-01</t>
  </si>
  <si>
    <t xml:space="preserve">FE-052</t>
  </si>
  <si>
    <t xml:space="preserve">Seller profile page</t>
  </si>
  <si>
    <t xml:space="preserve">Business name, description, location and that seller’s available products.</t>
  </si>
  <si>
    <t xml:space="preserve">MKT-07</t>
  </si>
  <si>
    <t xml:space="preserve">FE-053</t>
  </si>
  <si>
    <t xml:space="preserve">Static policy pages</t>
  </si>
  <si>
    <t xml:space="preserve">Terms of use, privacy notice and refund/dispute policy pages (content from project owner).</t>
  </si>
  <si>
    <t xml:space="preserve">NFR-SEC-12, OI-10, OI-11</t>
  </si>
  <si>
    <t xml:space="preserve">FE-054</t>
  </si>
  <si>
    <t xml:space="preserve">4. Cart</t>
  </si>
  <si>
    <t xml:space="preserve">Cart page layout</t>
  </si>
  <si>
    <t xml:space="preserve">Lines show product, quantity, unit price, subtotal; grand total; continue shopping and checkout buttons.</t>
  </si>
  <si>
    <t xml:space="preserve">CART-04, CART-05</t>
  </si>
  <si>
    <t xml:space="preserve">FE-055</t>
  </si>
  <si>
    <t xml:space="preserve">Add / update / remove cart items</t>
  </si>
  <si>
    <t xml:space="preserve">Quantity changes clamp between 1 and stock; remove deletes the line.</t>
  </si>
  <si>
    <t xml:space="preserve">CART-01 to CART-03</t>
  </si>
  <si>
    <t xml:space="preserve">FE-056</t>
  </si>
  <si>
    <t xml:space="preserve">Cart totals calculation utility</t>
  </si>
  <si>
    <t xml:space="preserve">Line subtotal = price × qty; total = sum; unit-tested; server value is authoritative.</t>
  </si>
  <si>
    <t xml:space="preserve">CART-04, BR-02</t>
  </si>
  <si>
    <t xml:space="preserve">FE-057</t>
  </si>
  <si>
    <t xml:space="preserve">Empty cart state</t>
  </si>
  <si>
    <t xml:space="preserve">Shows “Your cart is empty.” and blocks checkout.</t>
  </si>
  <si>
    <t xml:space="preserve">CART-05</t>
  </si>
  <si>
    <t xml:space="preserve">FE-058</t>
  </si>
  <si>
    <t xml:space="preserve">Cart badge in navbar</t>
  </si>
  <si>
    <t xml:space="preserve">Live item count.</t>
  </si>
  <si>
    <t xml:space="preserve">CART-07</t>
  </si>
  <si>
    <t xml:space="preserve">FE-059</t>
  </si>
  <si>
    <t xml:space="preserve">Cart re-validation notices</t>
  </si>
  <si>
    <t xml:space="preserve">On checkout, call cart validate; show price/stock changes and unavailable items before proceeding.</t>
  </si>
  <si>
    <t xml:space="preserve">CART-08</t>
  </si>
  <si>
    <t xml:space="preserve">FE-060</t>
  </si>
  <si>
    <t xml:space="preserve">Guest checkout redirect keeps cart</t>
  </si>
  <si>
    <t xml:space="preserve">Guest is asked to log in or register and returns to checkout with the cart intact.</t>
  </si>
  <si>
    <t xml:space="preserve">CART-09</t>
  </si>
  <si>
    <t xml:space="preserve">FE-061</t>
  </si>
  <si>
    <t xml:space="preserve">Server-side cart sync (later)</t>
  </si>
  <si>
    <t xml:space="preserve">Optional sync of authenticated buyer cart across devices.</t>
  </si>
  <si>
    <t xml:space="preserve">CART-10</t>
  </si>
  <si>
    <t xml:space="preserve">FE-062</t>
  </si>
  <si>
    <t xml:space="preserve">5. Authentication &amp; Account</t>
  </si>
  <si>
    <t xml:space="preserve">Buyer registration page</t>
  </si>
  <si>
    <t xml:space="preserve">Name, email, phone, password with validation (unique email, ≥ 8 chars with letters and digits).</t>
  </si>
  <si>
    <t xml:space="preserve">AUTH-01, AUTH-08</t>
  </si>
  <si>
    <t xml:space="preserve">FE-063</t>
  </si>
  <si>
    <t xml:space="preserve">Seller registration page</t>
  </si>
  <si>
    <t xml:space="preserve">Buyer fields plus business name, location, description.</t>
  </si>
  <si>
    <t xml:space="preserve">AUTH-02</t>
  </si>
  <si>
    <t xml:space="preserve">FE-064</t>
  </si>
  <si>
    <t xml:space="preserve">Seller “pending approval” notice</t>
  </si>
  <si>
    <t xml:space="preserve">After registration and login, seller sees pending/rejected/suspended status and cannot publish.</t>
  </si>
  <si>
    <t xml:space="preserve">AUTH-03, ADM-03</t>
  </si>
  <si>
    <t xml:space="preserve">FE-065</t>
  </si>
  <si>
    <t xml:space="preserve">Login page</t>
  </si>
  <si>
    <t xml:space="preserve">Email and password; generic “Invalid login credentials.”; role-based redirect after login.</t>
  </si>
  <si>
    <t xml:space="preserve">AUTH-04, AUTH-09, AUTH-13</t>
  </si>
  <si>
    <t xml:space="preserve">FE-066</t>
  </si>
  <si>
    <t xml:space="preserve">Login throttling and suspended messages</t>
  </si>
  <si>
    <t xml:space="preserve">Friendly handling of 429 (too many attempts) and suspended account messages.</t>
  </si>
  <si>
    <t xml:space="preserve">AUTH-09, AUTH-12</t>
  </si>
  <si>
    <t xml:space="preserve">FE-067</t>
  </si>
  <si>
    <t xml:space="preserve">Forgot and reset password pages</t>
  </si>
  <si>
    <t xml:space="preserve">Request link by email; reset form using time-limited token.</t>
  </si>
  <si>
    <t xml:space="preserve">AUTH-06</t>
  </si>
  <si>
    <t xml:space="preserve">FE-068</t>
  </si>
  <si>
    <t xml:space="preserve">Logout and session-expiry handling</t>
  </si>
  <si>
    <t xml:space="preserve">Logout clears token; 401 anywhere returns user to login and back after sign-in.</t>
  </si>
  <si>
    <t xml:space="preserve">AUTH-05, ERR-04</t>
  </si>
  <si>
    <t xml:space="preserve">FE-069</t>
  </si>
  <si>
    <t xml:space="preserve">Profile page</t>
  </si>
  <si>
    <t xml:space="preserve">View/edit name, phone (and business details for sellers); change password.</t>
  </si>
  <si>
    <t xml:space="preserve">AUTH-11</t>
  </si>
  <si>
    <t xml:space="preserve">FE-070</t>
  </si>
  <si>
    <t xml:space="preserve">6. Checkout &amp; Buyer Orders</t>
  </si>
  <si>
    <t xml:space="preserve">Checkout page: delivery details form</t>
  </si>
  <si>
    <t xml:space="preserve">Recipient name, phone, address (street, town/area, state), optional notes; prefilled from profile.</t>
  </si>
  <si>
    <t xml:space="preserve">CHK-02</t>
  </si>
  <si>
    <t xml:space="preserve">FE-071</t>
  </si>
  <si>
    <t xml:space="preserve">Checkout page: order summary and review</t>
  </si>
  <si>
    <t xml:space="preserve">Items, quantities, prices, subtotals, total; explicit confirm step.</t>
  </si>
  <si>
    <t xml:space="preserve">CHK-03</t>
  </si>
  <si>
    <t xml:space="preserve">FE-072</t>
  </si>
  <si>
    <t xml:space="preserve">Checkout stepper</t>
  </si>
  <si>
    <t xml:space="preserve">Cart → Delivery details → Review → Confirmation in no more than four steps.</t>
  </si>
  <si>
    <t xml:space="preserve">CHK-10</t>
  </si>
  <si>
    <t xml:space="preserve">FE-073</t>
  </si>
  <si>
    <t xml:space="preserve">Payment method display</t>
  </si>
  <si>
    <t xml:space="preserve">Show “Pay on delivery / pay seller directly”; no online payment in 1.0.</t>
  </si>
  <si>
    <t xml:space="preserve">CHK-09</t>
  </si>
  <si>
    <t xml:space="preserve">FE-074</t>
  </si>
  <si>
    <t xml:space="preserve">Place order and handle failures</t>
  </si>
  <si>
    <t xml:space="preserve">Handle 409/422 (insufficient stock, price change) with clear per-item messages.</t>
  </si>
  <si>
    <t xml:space="preserve">CHK-04, ERR-01</t>
  </si>
  <si>
    <t xml:space="preserve">FE-075</t>
  </si>
  <si>
    <t xml:space="preserve">Idempotent order submission</t>
  </si>
  <si>
    <t xml:space="preserve">Generate checkout reference (UUID), disable submit after click, safe retry.</t>
  </si>
  <si>
    <t xml:space="preserve">NFR-REL-04, CHK-05</t>
  </si>
  <si>
    <t xml:space="preserve">FE-076</t>
  </si>
  <si>
    <t xml:space="preserve">Order confirmation page</t>
  </si>
  <si>
    <t xml:space="preserve">Order number(s), items, total, delivery details; cart cleared.</t>
  </si>
  <si>
    <t xml:space="preserve">CHK-08</t>
  </si>
  <si>
    <t xml:space="preserve">FE-077</t>
  </si>
  <si>
    <t xml:space="preserve">My Orders list</t>
  </si>
  <si>
    <t xml:space="preserve">Newest first, paginated; order number, date, seller, total, status.</t>
  </si>
  <si>
    <t xml:space="preserve">ORD-01</t>
  </si>
  <si>
    <t xml:space="preserve">FE-078</t>
  </si>
  <si>
    <t xml:space="preserve">Order detail page</t>
  </si>
  <si>
    <t xml:space="preserve">Items, delivery details, status timeline with timestamps and cancellation reason.</t>
  </si>
  <si>
    <t xml:space="preserve">ORD-02, ORD-07</t>
  </si>
  <si>
    <t xml:space="preserve">FE-079</t>
  </si>
  <si>
    <t xml:space="preserve">Cancel pending order</t>
  </si>
  <si>
    <t xml:space="preserve">Cancel button only while Pending; confirm dialog; refresh status.</t>
  </si>
  <si>
    <t xml:space="preserve">ORD-03</t>
  </si>
  <si>
    <t xml:space="preserve">FE-080</t>
  </si>
  <si>
    <t xml:space="preserve">7. Seller Dashboard</t>
  </si>
  <si>
    <t xml:space="preserve">Seller dashboard layout and navigation</t>
  </si>
  <si>
    <t xml:space="preserve">Sections: Overview, Products, Add Product, Orders, Inventory, Sales, Profile; responsive sidebar.</t>
  </si>
  <si>
    <t xml:space="preserve">SEL-01</t>
  </si>
  <si>
    <t xml:space="preserve">FE-081</t>
  </si>
  <si>
    <t xml:space="preserve">Overview page</t>
  </si>
  <si>
    <t xml:space="preserve">New (Pending) orders, low-stock items, latest sales figures.</t>
  </si>
  <si>
    <t xml:space="preserve">SEL-13</t>
  </si>
  <si>
    <t xml:space="preserve">FE-082</t>
  </si>
  <si>
    <t xml:space="preserve">My products list</t>
  </si>
  <si>
    <t xml:space="preserve">Table with search, availability, stock, edit and delete actions.</t>
  </si>
  <si>
    <t xml:space="preserve">SEL-02, SEL-03</t>
  </si>
  <si>
    <t xml:space="preserve">FE-083</t>
  </si>
  <si>
    <t xml:space="preserve">Add product form</t>
  </si>
  <si>
    <t xml:space="preserve">Name, category, price (&gt; 0), unit, quantity (≥ 0), description, availability, image; inline validation.</t>
  </si>
  <si>
    <t xml:space="preserve">SEL-02</t>
  </si>
  <si>
    <t xml:space="preserve">FE-084</t>
  </si>
  <si>
    <t xml:space="preserve">Product image upload</t>
  </si>
  <si>
    <t xml:space="preserve">Client-side check of type (JPEG/PNG/WebP) and size (≤ 2 MB); preview; upload with progress.</t>
  </si>
  <si>
    <t xml:space="preserve">SEL-05</t>
  </si>
  <si>
    <t xml:space="preserve">FE-085</t>
  </si>
  <si>
    <t xml:space="preserve">Edit product form</t>
  </si>
  <si>
    <t xml:space="preserve">Edit all fields including price and stock; success feedback.</t>
  </si>
  <si>
    <t xml:space="preserve">SEL-03, SEL-06</t>
  </si>
  <si>
    <t xml:space="preserve">FE-086</t>
  </si>
  <si>
    <t xml:space="preserve">Delete product</t>
  </si>
  <si>
    <t xml:space="preserve">Confirm dialog; product removed from lists (soft delete).</t>
  </si>
  <si>
    <t xml:space="preserve">SEL-04</t>
  </si>
  <si>
    <t xml:space="preserve">FE-087</t>
  </si>
  <si>
    <t xml:space="preserve">Availability toggle</t>
  </si>
  <si>
    <t xml:space="preserve">Manual on/off; auto “Out of Stock” when quantity is 0.</t>
  </si>
  <si>
    <t xml:space="preserve">SEL-07</t>
  </si>
  <si>
    <t xml:space="preserve">FE-088</t>
  </si>
  <si>
    <t xml:space="preserve">Inventory page</t>
  </si>
  <si>
    <t xml:space="preserve">Current stock, unit, price, availability, last updated; quick inline stock update.</t>
  </si>
  <si>
    <t xml:space="preserve">SEL-08</t>
  </si>
  <si>
    <t xml:space="preserve">FE-089</t>
  </si>
  <si>
    <t xml:space="preserve">Low-stock indicator</t>
  </si>
  <si>
    <t xml:space="preserve">Highlight items at or below threshold (default 5).</t>
  </si>
  <si>
    <t xml:space="preserve">SEL-09</t>
  </si>
  <si>
    <t xml:space="preserve">FE-090</t>
  </si>
  <si>
    <t xml:space="preserve">Seller orders list</t>
  </si>
  <si>
    <t xml:space="preserve">Only own orders; filter by status and date.</t>
  </si>
  <si>
    <t xml:space="preserve">SEL-10</t>
  </si>
  <si>
    <t xml:space="preserve">FE-091</t>
  </si>
  <si>
    <t xml:space="preserve">Seller order detail</t>
  </si>
  <si>
    <t xml:space="preserve">Items, buyer name/phone, delivery details.</t>
  </si>
  <si>
    <t xml:space="preserve">FE-092</t>
  </si>
  <si>
    <t xml:space="preserve">Order status controls</t>
  </si>
  <si>
    <t xml:space="preserve">Only valid next steps offered; cancel requires a reason.</t>
  </si>
  <si>
    <t xml:space="preserve">SEL-11, ORD-05, ORD-07</t>
  </si>
  <si>
    <t xml:space="preserve">FE-093</t>
  </si>
  <si>
    <t xml:space="preserve">Sales page</t>
  </si>
  <si>
    <t xml:space="preserve">Period selector; total sales (Completed), order count, products sold, recent orders.</t>
  </si>
  <si>
    <t xml:space="preserve">SEL-12</t>
  </si>
  <si>
    <t xml:space="preserve">FE-094</t>
  </si>
  <si>
    <t xml:space="preserve">Seller profile edit</t>
  </si>
  <si>
    <t xml:space="preserve">Edit business name, location, description, phone.</t>
  </si>
  <si>
    <t xml:space="preserve">FE-095</t>
  </si>
  <si>
    <t xml:space="preserve">8. Admin Dashboard</t>
  </si>
  <si>
    <t xml:space="preserve">Admin layout and navigation</t>
  </si>
  <si>
    <t xml:space="preserve">Sections: Overview, Users, Sellers, Products, Categories, Orders, Settings (+ Audit log).</t>
  </si>
  <si>
    <t xml:space="preserve">ADM-01</t>
  </si>
  <si>
    <t xml:space="preserve">FE-096</t>
  </si>
  <si>
    <t xml:space="preserve">Admin overview</t>
  </si>
  <si>
    <t xml:space="preserve">Counts of users, sellers, products, orders and total sales.</t>
  </si>
  <si>
    <t xml:space="preserve">ADM-10</t>
  </si>
  <si>
    <t xml:space="preserve">FE-097</t>
  </si>
  <si>
    <t xml:space="preserve">Users management page</t>
  </si>
  <si>
    <t xml:space="preserve">List, search, view, deactivate/reactivate.</t>
  </si>
  <si>
    <t xml:space="preserve">ADM-02</t>
  </si>
  <si>
    <t xml:space="preserve">FE-098</t>
  </si>
  <si>
    <t xml:space="preserve">Sellers management page</t>
  </si>
  <si>
    <t xml:space="preserve">Filter by Pending; approve, reject (with reason), suspend, reactivate.</t>
  </si>
  <si>
    <t xml:space="preserve">ADM-03</t>
  </si>
  <si>
    <t xml:space="preserve">FE-099</t>
  </si>
  <si>
    <t xml:space="preserve">Products moderation page</t>
  </si>
  <si>
    <t xml:space="preserve">View all products; unpublish/remove violating listings.</t>
  </si>
  <si>
    <t xml:space="preserve">ADM-04</t>
  </si>
  <si>
    <t xml:space="preserve">FE-100</t>
  </si>
  <si>
    <t xml:space="preserve">Categories management page</t>
  </si>
  <si>
    <t xml:space="preserve">Create, edit, deactivate; delete only if unused (show blocked message).</t>
  </si>
  <si>
    <t xml:space="preserve">ADM-05</t>
  </si>
  <si>
    <t xml:space="preserve">FE-101</t>
  </si>
  <si>
    <t xml:space="preserve">Orders monitoring page</t>
  </si>
  <si>
    <t xml:space="preserve">Search by number, buyer, seller, status, date; detail view.</t>
  </si>
  <si>
    <t xml:space="preserve">ADM-06</t>
  </si>
  <si>
    <t xml:space="preserve">FE-102</t>
  </si>
  <si>
    <t xml:space="preserve">Order status override</t>
  </si>
  <si>
    <t xml:space="preserve">Admin-only override with mandatory reason.</t>
  </si>
  <si>
    <t xml:space="preserve">ADM-07</t>
  </si>
  <si>
    <t xml:space="preserve">FE-103</t>
  </si>
  <si>
    <t xml:space="preserve">Marketplace settings page</t>
  </si>
  <si>
    <t xml:space="preserve">Edit site name, contact details, support text, footer content.</t>
  </si>
  <si>
    <t xml:space="preserve">ADM-08</t>
  </si>
  <si>
    <t xml:space="preserve">FE-104</t>
  </si>
  <si>
    <t xml:space="preserve">Audit log page</t>
  </si>
  <si>
    <t xml:space="preserve">Filter by user, action and date; paginated.</t>
  </si>
  <si>
    <t xml:space="preserve">ADM-09</t>
  </si>
  <si>
    <t xml:space="preserve">FE-105</t>
  </si>
  <si>
    <t xml:space="preserve">9. API Integration</t>
  </si>
  <si>
    <t xml:space="preserve">Integrate authService with API</t>
  </si>
  <si>
    <t xml:space="preserve">Register, login, logout, profile, password reset against Laravel; mock switch off.</t>
  </si>
  <si>
    <t xml:space="preserve">Section 4.4</t>
  </si>
  <si>
    <t xml:space="preserve">FE-106</t>
  </si>
  <si>
    <t xml:space="preserve">Integrate product and category services</t>
  </si>
  <si>
    <t xml:space="preserve">List with query params, detail, seller product CRUD, image upload, stock update.</t>
  </si>
  <si>
    <t xml:space="preserve">FE-107</t>
  </si>
  <si>
    <t xml:space="preserve">Integrate orderService</t>
  </si>
  <si>
    <t xml:space="preserve">Create order(s), list/detail scoped by role, status change, cancel, cart validate.</t>
  </si>
  <si>
    <t xml:space="preserve">FE-108</t>
  </si>
  <si>
    <t xml:space="preserve">Integrate seller and admin services</t>
  </si>
  <si>
    <t xml:space="preserve">Dashboard stats, seller/user status, settings, audit logs.</t>
  </si>
  <si>
    <t xml:space="preserve">FE-109</t>
  </si>
  <si>
    <t xml:space="preserve">Token handling and CORS/env setup</t>
  </si>
  <si>
    <t xml:space="preserve">Agree token storage with backend (HttpOnly cookie preferred); configure staging/production origins.</t>
  </si>
  <si>
    <t xml:space="preserve">NFR-SEC-03, NFR-SEC-10</t>
  </si>
  <si>
    <t xml:space="preserve">FE-110</t>
  </si>
  <si>
    <t xml:space="preserve">Verify mock data vs OpenAPI schema</t>
  </si>
  <si>
    <t xml:space="preserve">Automated check that mock shapes equal API responses; fix drift.</t>
  </si>
  <si>
    <t xml:space="preserve">FE-111</t>
  </si>
  <si>
    <t xml:space="preserve">Retry and offline error handling</t>
  </si>
  <si>
    <t xml:space="preserve">API unreachable shows friendly message with retry; cart never lost.</t>
  </si>
  <si>
    <t xml:space="preserve">NFR-REL-05, MKT-10</t>
  </si>
  <si>
    <t xml:space="preserve">FE-112</t>
  </si>
  <si>
    <t xml:space="preserve">10. Testing, Quality &amp; Release</t>
  </si>
  <si>
    <t xml:space="preserve">Unit tests: cart, validation, utilities</t>
  </si>
  <si>
    <t xml:space="preserve">≥ 70% line coverage on business-logic modules.</t>
  </si>
  <si>
    <t xml:space="preserve">FE-113</t>
  </si>
  <si>
    <t xml:space="preserve">Component tests for key components</t>
  </si>
  <si>
    <t xml:space="preserve">ProductCard, filters, quantity selector, forms.</t>
  </si>
  <si>
    <t xml:space="preserve">Section 8.1</t>
  </si>
  <si>
    <t xml:space="preserve">FE-114</t>
  </si>
  <si>
    <t xml:space="preserve">E2E: buyer purchase journey</t>
  </si>
  <si>
    <t xml:space="preserve">Browse → cart → checkout → confirmation (TC-08 to TC-16).</t>
  </si>
  <si>
    <t xml:space="preserve">TC-08 to TC-16</t>
  </si>
  <si>
    <t xml:space="preserve">FE-115</t>
  </si>
  <si>
    <t xml:space="preserve">E2E: seller product and order flow</t>
  </si>
  <si>
    <t xml:space="preserve">Add/edit/delete product, process order (TC-19 to TC-24).</t>
  </si>
  <si>
    <t xml:space="preserve">TC-19 to TC-24</t>
  </si>
  <si>
    <t xml:space="preserve">FE-116</t>
  </si>
  <si>
    <t xml:space="preserve">E2E: admin approval flow</t>
  </si>
  <si>
    <t xml:space="preserve">Approve/suspend seller, category management (TC-29 to TC-31).</t>
  </si>
  <si>
    <t xml:space="preserve">TC-29 to TC-31</t>
  </si>
  <si>
    <t xml:space="preserve">FE-117</t>
  </si>
  <si>
    <t xml:space="preserve">Role access checks in the UI</t>
  </si>
  <si>
    <t xml:space="preserve">Buyer cannot open /seller or /admin (TC-28).</t>
  </si>
  <si>
    <t xml:space="preserve">TC-28, AUTH-07</t>
  </si>
  <si>
    <t xml:space="preserve">FE-118</t>
  </si>
  <si>
    <t xml:space="preserve">Responsive QA 360–1920 px</t>
  </si>
  <si>
    <t xml:space="preserve">No horizontal scroll; all actions usable (TC-33).</t>
  </si>
  <si>
    <t xml:space="preserve">NFR-COMP-02, TC-33</t>
  </si>
  <si>
    <t xml:space="preserve">FE-119</t>
  </si>
  <si>
    <t xml:space="preserve">Cross-browser and device testing</t>
  </si>
  <si>
    <t xml:space="preserve">Latest two versions of Chrome, Edge, Firefox, Safari, Chrome Android, Samsung Internet.</t>
  </si>
  <si>
    <t xml:space="preserve">NFR-COMP-01</t>
  </si>
  <si>
    <t xml:space="preserve">FE-120</t>
  </si>
  <si>
    <t xml:space="preserve">Accessibility audit</t>
  </si>
  <si>
    <t xml:space="preserve">WCAG 2.1 AA: contrast, keyboard use, focus, labels, alt text.</t>
  </si>
  <si>
    <t xml:space="preserve">NFR-USAB-02</t>
  </si>
  <si>
    <t xml:space="preserve">FE-121</t>
  </si>
  <si>
    <t xml:space="preserve">Performance audit</t>
  </si>
  <si>
    <t xml:space="preserve">LCP ≤ 2.5 s on simulated 4G; bundle ≤ 250 KB; images resized and lazy-loaded.</t>
  </si>
  <si>
    <t xml:space="preserve">NFR-PERF-01, NFR-PERF-03</t>
  </si>
  <si>
    <t xml:space="preserve">FE-122</t>
  </si>
  <si>
    <t xml:space="preserve">Front-end security review</t>
  </si>
  <si>
    <t xml:space="preserve">No secrets in bundle, XSS-safe rendering, dependency audit (npm audit) clean.</t>
  </si>
  <si>
    <t xml:space="preserve">NFR-SEC-06, NFR-SEC-13</t>
  </si>
  <si>
    <t xml:space="preserve">FE-123</t>
  </si>
  <si>
    <t xml:space="preserve">Usability test with buyers</t>
  </si>
  <si>
    <t xml:space="preserve">≥ 5 first-time buyers; ≥ 80% complete an order unassisted.</t>
  </si>
  <si>
    <t xml:space="preserve">NFR-USAB-01</t>
  </si>
  <si>
    <t xml:space="preserve">FE-124</t>
  </si>
  <si>
    <t xml:space="preserve">Production build and deployment</t>
  </si>
  <si>
    <t xml:space="preserve">Deploy React build to static/CDN host from CI with production env settings.</t>
  </si>
  <si>
    <t xml:space="preserve">Source §43</t>
  </si>
  <si>
    <t xml:space="preserve">FE-125</t>
  </si>
  <si>
    <t xml:space="preserve">README and developer documentation</t>
  </si>
  <si>
    <t xml:space="preserve">Setup, env variables, folder structure, mock/API switch, coding standards.</t>
  </si>
  <si>
    <t xml:space="preserve">NFR-MAIN-01</t>
  </si>
  <si>
    <t xml:space="preserve">Vegetable Joint — Frontend Progress Summary</t>
  </si>
  <si>
    <t xml:space="preserve">All figures update automatically from the “Frontend Tasks” sheet (rows 2–500).</t>
  </si>
  <si>
    <t xml:space="preserve">Overall</t>
  </si>
  <si>
    <t xml:space="preserve">Count</t>
  </si>
  <si>
    <t xml:space="preserve">Total tasks</t>
  </si>
  <si>
    <t xml:space="preserve">Done</t>
  </si>
  <si>
    <t xml:space="preserve">In Review</t>
  </si>
  <si>
    <t xml:space="preserve">In Progress</t>
  </si>
  <si>
    <t xml:space="preserve">Blocked</t>
  </si>
  <si>
    <t xml:space="preserve">% complete</t>
  </si>
  <si>
    <t xml:space="preserve">Total</t>
  </si>
  <si>
    <t xml:space="preserve">% Done</t>
  </si>
  <si>
    <t xml:space="preserve">Done by person</t>
  </si>
  <si>
    <t xml:space="preserve">Type each team member’s name exactly as used in the “Done By” column (yellow cells).</t>
  </si>
  <si>
    <t xml:space="preserve">Team member</t>
  </si>
  <si>
    <t xml:space="preserve">Tasks done</t>
  </si>
  <si>
    <t xml:space="preserve">Done but no name in “Done By”</t>
  </si>
  <si>
    <t xml:space="preserve">Should be 0 — such rows are highlighted red in the task sheet.</t>
  </si>
  <si>
    <t xml:space="preserve">How to use this tracker</t>
  </si>
  <si>
    <t xml:space="preserve">Purpose</t>
  </si>
  <si>
    <t xml:space="preserve">Tracks every frontend (React) task for Vegetable Joint, derived from SRS v1.0. Each task links to the SRS requirement(s) it satisfies.</t>
  </si>
  <si>
    <t xml:space="preserve">What you edit</t>
  </si>
  <si>
    <t xml:space="preserve">Only these columns: Status, Done By, Date Done, Notes. Task/Details/SRS Ref/Priority can be edited by the project lead if scope changes.</t>
  </si>
  <si>
    <t xml:space="preserve">Status values</t>
  </si>
  <si>
    <t xml:space="preserve">Not Started · In Progress · In Review · Done · Blocked (dropdown).</t>
  </si>
  <si>
    <t xml:space="preserve">Must = required for Release 1.0. Should = target for 1.0. Could = may move later (as defined in SRS section 1.2).</t>
  </si>
  <si>
    <t xml:space="preserve">Type the name of the person who completed the task (e.g. “Amaka O.”). Use the same spelling every time so the Summary sheet can count it.</t>
  </si>
  <si>
    <t xml:space="preserve">Enter the date the task was completed in yyyy-mm-dd format (e.g. 2026-09-25).</t>
  </si>
  <si>
    <t xml:space="preserve">Example (not a real entry)</t>
  </si>
  <si>
    <t xml:space="preserve">Task FE-014 “Cart context with persistence” → Status: Done · Done By: Amaka O. · Date Done: 2026-09-25 · Notes: Tested on refresh and browser restart.</t>
  </si>
  <si>
    <t xml:space="preserve">Colour cues</t>
  </si>
  <si>
    <t xml:space="preserve">Green = Done, amber = In Progress, blue = In Review, red = Blocked. A red “Done By” cell means the task is Done but nobody is named.</t>
  </si>
  <si>
    <t xml:space="preserve">Adding tasks</t>
  </si>
  <si>
    <t xml:space="preserve">Insert new rows inside the table (before the last row) and copy formatting from a row above; Summary formulas cover rows 2–500. Use the next free Task ID.</t>
  </si>
  <si>
    <t xml:space="preserve">Starting status</t>
  </si>
  <si>
    <t xml:space="preserve">All tasks start as “Not Started”. The concept document does not record what is already built (a React prototype with mock data exists), so please update Status for work already completed.</t>
  </si>
  <si>
    <t xml:space="preserve">Assumptions</t>
  </si>
  <si>
    <t xml:space="preserve">Priorities and SRS references come from SRS v1.0. Estimates and assignees are intentionally left out; add columns if your team wants them.</t>
  </si>
  <si>
    <t xml:space="preserve">Use in Google Sheets</t>
  </si>
  <si>
    <t xml:space="preserve">Google Drive → New → File upload → open this file with Google Sheets (or File → Import). Dropdowns, filters and colours carry over.</t>
  </si>
</sst>
</file>

<file path=xl/styles.xml><?xml version="1.0" encoding="utf-8"?>
<styleSheet xmlns="http://schemas.openxmlformats.org/spreadsheetml/2006/main">
  <numFmts count="5">
    <numFmt numFmtId="164" formatCode="General"/>
    <numFmt numFmtId="165" formatCode="yyyy\-mm\-dd"/>
    <numFmt numFmtId="166" formatCode="General"/>
    <numFmt numFmtId="167" formatCode="0.0%"/>
    <numFmt numFmtId="168" formatCode="0%"/>
  </numFmts>
  <fonts count="12">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name val="Arial"/>
      <family val="0"/>
      <charset val="1"/>
    </font>
    <font>
      <b val="true"/>
      <sz val="10"/>
      <name val="Arial"/>
      <family val="0"/>
      <charset val="1"/>
    </font>
    <font>
      <b val="true"/>
      <sz val="15"/>
      <color rgb="FF1F6B3A"/>
      <name val="Arial"/>
      <family val="0"/>
      <charset val="1"/>
    </font>
    <font>
      <i val="true"/>
      <sz val="9"/>
      <color rgb="FF666666"/>
      <name val="Arial"/>
      <family val="0"/>
      <charset val="1"/>
    </font>
    <font>
      <b val="true"/>
      <sz val="12"/>
      <color rgb="FF1F6B3A"/>
      <name val="Arial"/>
      <family val="0"/>
      <charset val="1"/>
    </font>
    <font>
      <sz val="10"/>
      <color rgb="FF0000FF"/>
      <name val="Arial"/>
      <family val="0"/>
      <charset val="1"/>
    </font>
    <font>
      <b val="true"/>
      <sz val="14"/>
      <color rgb="FF1F6B3A"/>
      <name val="Arial"/>
      <family val="0"/>
      <charset val="1"/>
    </font>
  </fonts>
  <fills count="6">
    <fill>
      <patternFill patternType="none"/>
    </fill>
    <fill>
      <patternFill patternType="gray125"/>
    </fill>
    <fill>
      <patternFill patternType="solid">
        <fgColor rgb="FF1F6B3A"/>
        <bgColor rgb="FF1B5E20"/>
      </patternFill>
    </fill>
    <fill>
      <patternFill patternType="solid">
        <fgColor rgb="FFE8F3EC"/>
        <bgColor rgb="FFDCE8FA"/>
      </patternFill>
    </fill>
    <fill>
      <patternFill patternType="solid">
        <fgColor rgb="FFFFFFFF"/>
        <bgColor rgb="FFFFF4D6"/>
      </patternFill>
    </fill>
    <fill>
      <patternFill patternType="solid">
        <fgColor rgb="FFFFFF00"/>
        <bgColor rgb="FFFFFF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5" fillId="3" borderId="1" xfId="0" applyFont="true" applyBorder="true" applyAlignment="true" applyProtection="false">
      <alignment horizontal="center"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center" vertical="top" textRotation="0" wrapText="true" indent="0" shrinkToFit="false"/>
      <protection locked="true" hidden="false"/>
    </xf>
    <xf numFmtId="165" fontId="5" fillId="0" borderId="1" xfId="0" applyFont="true" applyBorder="true" applyAlignment="true" applyProtection="false">
      <alignment horizontal="center" vertical="top" textRotation="0" wrapText="true" indent="0" shrinkToFit="false"/>
      <protection locked="true" hidden="false"/>
    </xf>
    <xf numFmtId="164" fontId="5" fillId="4" borderId="1" xfId="0" applyFont="true" applyBorder="true" applyAlignment="true" applyProtection="false">
      <alignment horizontal="center"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left" vertical="bottom" textRotation="0" wrapText="false" indent="0" shrinkToFit="false"/>
      <protection locked="true" hidden="false"/>
    </xf>
    <xf numFmtId="164" fontId="4" fillId="2" borderId="1" xfId="0" applyFont="true" applyBorder="true" applyAlignment="true" applyProtection="false">
      <alignment horizontal="center"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6" fontId="5" fillId="0" borderId="1" xfId="0" applyFont="true" applyBorder="true" applyAlignment="true" applyProtection="false">
      <alignment horizontal="center"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7" fontId="6" fillId="0" borderId="1" xfId="0" applyFont="true" applyBorder="true" applyAlignment="true" applyProtection="false">
      <alignment horizontal="center" vertical="bottom" textRotation="0" wrapText="false" indent="0" shrinkToFit="false"/>
      <protection locked="true" hidden="false"/>
    </xf>
    <xf numFmtId="168" fontId="5" fillId="0" borderId="1" xfId="0" applyFont="true" applyBorder="true" applyAlignment="true" applyProtection="false">
      <alignment horizontal="center" vertical="bottom" textRotation="0" wrapText="false" indent="0" shrinkToFit="false"/>
      <protection locked="true" hidden="false"/>
    </xf>
    <xf numFmtId="166" fontId="6" fillId="0" borderId="1" xfId="0" applyFont="true" applyBorder="true" applyAlignment="true" applyProtection="false">
      <alignment horizontal="center" vertical="bottom" textRotation="0" wrapText="false" indent="0" shrinkToFit="false"/>
      <protection locked="true" hidden="false"/>
    </xf>
    <xf numFmtId="168" fontId="6" fillId="0" borderId="1" xfId="0" applyFont="true" applyBorder="true" applyAlignment="true" applyProtection="false">
      <alignment horizontal="center"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5"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1F6B3A"/>
          <bgColor rgb="FF000000"/>
        </patternFill>
      </fill>
    </dxf>
    <dxf>
      <fill>
        <patternFill patternType="solid">
          <fgColor rgb="FFE8F3EC"/>
          <bgColor rgb="FF000000"/>
        </patternFill>
      </fill>
    </dxf>
    <dxf>
      <fill>
        <patternFill patternType="solid">
          <fgColor rgb="FFFFFFFF"/>
          <bgColor rgb="FF000000"/>
        </patternFill>
      </fill>
    </dxf>
    <dxf>
      <fill>
        <patternFill patternType="solid">
          <bgColor rgb="FF000000"/>
        </patternFill>
      </fill>
    </dxf>
    <dxf>
      <font>
        <name val="Arial"/>
        <charset val="1"/>
        <family val="0"/>
        <b val="1"/>
        <color rgb="FF1B5E20"/>
      </font>
      <fill>
        <patternFill>
          <bgColor rgb="FFC9E6D2"/>
        </patternFill>
      </fill>
    </dxf>
    <dxf>
      <fill>
        <patternFill>
          <bgColor rgb="FFFFF4D6"/>
        </patternFill>
      </fill>
    </dxf>
    <dxf>
      <fill>
        <patternFill>
          <bgColor rgb="FFDCE8FA"/>
        </patternFill>
      </fill>
    </dxf>
    <dxf>
      <font>
        <name val="Arial"/>
        <charset val="1"/>
        <family val="0"/>
        <b val="1"/>
        <color rgb="FFB71C1C"/>
      </font>
      <fill>
        <patternFill>
          <bgColor rgb="FFF6D5D5"/>
        </patternFill>
      </fill>
    </dxf>
    <dxf>
      <fill>
        <patternFill>
          <bgColor rgb="FFF6D5D5"/>
        </patternFill>
      </fill>
    </dxf>
  </dxfs>
  <colors>
    <indexedColors>
      <rgbColor rgb="FF000000"/>
      <rgbColor rgb="FFFFFFFF"/>
      <rgbColor rgb="FFFF0000"/>
      <rgbColor rgb="FF00FF00"/>
      <rgbColor rgb="FF0000FF"/>
      <rgbColor rgb="FFFFFF00"/>
      <rgbColor rgb="FFFF00FF"/>
      <rgbColor rgb="FF00FFFF"/>
      <rgbColor rgb="FF800000"/>
      <rgbColor rgb="FF1F6B3A"/>
      <rgbColor rgb="FF000080"/>
      <rgbColor rgb="FF808000"/>
      <rgbColor rgb="FF800080"/>
      <rgbColor rgb="FF008080"/>
      <rgbColor rgb="FFBFBFBF"/>
      <rgbColor rgb="FF808080"/>
      <rgbColor rgb="FF9999FF"/>
      <rgbColor rgb="FF993366"/>
      <rgbColor rgb="FFFFF4D6"/>
      <rgbColor rgb="FFE8F3EC"/>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DCE8FA"/>
      <rgbColor rgb="FFC9E6D2"/>
      <rgbColor rgb="FFFFFF99"/>
      <rgbColor rgb="FF99CCFF"/>
      <rgbColor rgb="FFFF99CC"/>
      <rgbColor rgb="FFCC99FF"/>
      <rgbColor rgb="FFF6D5D5"/>
      <rgbColor rgb="FF3366FF"/>
      <rgbColor rgb="FF33CCCC"/>
      <rgbColor rgb="FF99CC00"/>
      <rgbColor rgb="FFFFCC00"/>
      <rgbColor rgb="FFFF9900"/>
      <rgbColor rgb="FFFF6600"/>
      <rgbColor rgb="FF666666"/>
      <rgbColor rgb="FF969696"/>
      <rgbColor rgb="FF003366"/>
      <rgbColor rgb="FF339966"/>
      <rgbColor rgb="FF003300"/>
      <rgbColor rgb="FF333300"/>
      <rgbColor rgb="FFB71C1C"/>
      <rgbColor rgb="FF993366"/>
      <rgbColor rgb="FF333399"/>
      <rgbColor rgb="FF1B5E2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2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6"/>
    <col collapsed="false" customWidth="true" hidden="false" outlineLevel="0" max="3" min="3" style="0" width="34"/>
    <col collapsed="false" customWidth="true" hidden="false" outlineLevel="0" max="4" min="4" style="0" width="62"/>
    <col collapsed="false" customWidth="true" hidden="false" outlineLevel="0" max="5" min="5" style="0" width="24"/>
    <col collapsed="false" customWidth="true" hidden="false" outlineLevel="0" max="6" min="6" style="0" width="10"/>
    <col collapsed="false" customWidth="true" hidden="false" outlineLevel="0" max="7" min="7" style="0" width="14"/>
    <col collapsed="false" customWidth="true" hidden="false" outlineLevel="0" max="8" min="8" style="0" width="18"/>
    <col collapsed="false" customWidth="true" hidden="false" outlineLevel="0" max="9" min="9" style="0" width="13"/>
    <col collapsed="false" customWidth="true" hidden="false" outlineLevel="0" max="10" min="10" style="0" width="30"/>
  </cols>
  <sheetData>
    <row r="1" customFormat="false" ht="25.5" hidden="false" customHeight="true" outlineLevel="0" collapsed="false">
      <c r="A1" s="1" t="s">
        <v>0</v>
      </c>
      <c r="B1" s="1" t="s">
        <v>1</v>
      </c>
      <c r="C1" s="1" t="s">
        <v>2</v>
      </c>
      <c r="D1" s="1" t="s">
        <v>3</v>
      </c>
      <c r="E1" s="1" t="s">
        <v>4</v>
      </c>
      <c r="F1" s="1" t="s">
        <v>5</v>
      </c>
      <c r="G1" s="1" t="s">
        <v>6</v>
      </c>
      <c r="H1" s="1" t="s">
        <v>7</v>
      </c>
      <c r="I1" s="1" t="s">
        <v>8</v>
      </c>
      <c r="J1" s="1" t="s">
        <v>9</v>
      </c>
    </row>
    <row r="2" customFormat="false" ht="23.85" hidden="false" customHeight="false" outlineLevel="0" collapsed="false">
      <c r="A2" s="2" t="s">
        <v>10</v>
      </c>
      <c r="B2" s="3" t="s">
        <v>11</v>
      </c>
      <c r="C2" s="4" t="s">
        <v>12</v>
      </c>
      <c r="D2" s="5" t="s">
        <v>13</v>
      </c>
      <c r="E2" s="5" t="s">
        <v>14</v>
      </c>
      <c r="F2" s="6" t="s">
        <v>15</v>
      </c>
      <c r="G2" s="6" t="s">
        <v>519</v>
      </c>
      <c r="H2" s="5" t="inlineStr">
        <is>
          <t>aminullah-01</t>
        </is>
      </c>
      <c r="I2" s="7" t="inlineStr">
        <is>
          <t>2026-09-22</t>
        </is>
      </c>
      <c r="J2" s="5" t="inlineStr">
        <is>
          <t>Vite + React app initialised with modular folder structure. npm run dev and build verified.</t>
        </is>
      </c>
    </row>
    <row r="3" customFormat="false" ht="23.85" hidden="false" customHeight="false" outlineLevel="0" collapsed="false">
      <c r="A3" s="2" t="s">
        <v>17</v>
      </c>
      <c r="B3" s="3" t="s">
        <v>11</v>
      </c>
      <c r="C3" s="4" t="s">
        <v>18</v>
      </c>
      <c r="D3" s="5" t="s">
        <v>19</v>
      </c>
      <c r="E3" s="5" t="s">
        <v>20</v>
      </c>
      <c r="F3" s="6" t="s">
        <v>21</v>
      </c>
      <c r="G3" s="6" t="s">
        <v>16</v>
      </c>
      <c r="H3" s="5"/>
      <c r="I3" s="7"/>
      <c r="J3" s="5"/>
    </row>
    <row r="4" customFormat="false" ht="23.85" hidden="false" customHeight="false" outlineLevel="0" collapsed="false">
      <c r="A4" s="2" t="s">
        <v>22</v>
      </c>
      <c r="B4" s="3" t="s">
        <v>11</v>
      </c>
      <c r="C4" s="4" t="s">
        <v>23</v>
      </c>
      <c r="D4" s="5" t="s">
        <v>24</v>
      </c>
      <c r="E4" s="5" t="s">
        <v>25</v>
      </c>
      <c r="F4" s="6" t="s">
        <v>15</v>
      </c>
      <c r="G4" s="6" t="s">
        <v>16</v>
      </c>
      <c r="H4" s="5"/>
      <c r="I4" s="7"/>
      <c r="J4" s="5"/>
    </row>
    <row r="5" customFormat="false" ht="23.85" hidden="false" customHeight="false" outlineLevel="0" collapsed="false">
      <c r="A5" s="2" t="s">
        <v>26</v>
      </c>
      <c r="B5" s="3" t="s">
        <v>11</v>
      </c>
      <c r="C5" s="4" t="s">
        <v>27</v>
      </c>
      <c r="D5" s="5" t="s">
        <v>28</v>
      </c>
      <c r="E5" s="5" t="s">
        <v>29</v>
      </c>
      <c r="F5" s="6" t="s">
        <v>15</v>
      </c>
      <c r="G5" s="6" t="s">
        <v>16</v>
      </c>
      <c r="H5" s="5"/>
      <c r="I5" s="7"/>
      <c r="J5" s="5"/>
    </row>
    <row r="6" customFormat="false" ht="23.85" hidden="false" customHeight="false" outlineLevel="0" collapsed="false">
      <c r="A6" s="2" t="s">
        <v>30</v>
      </c>
      <c r="B6" s="3" t="s">
        <v>11</v>
      </c>
      <c r="C6" s="4" t="s">
        <v>31</v>
      </c>
      <c r="D6" s="5" t="s">
        <v>32</v>
      </c>
      <c r="E6" s="5" t="s">
        <v>33</v>
      </c>
      <c r="F6" s="6" t="s">
        <v>15</v>
      </c>
      <c r="G6" s="6" t="s">
        <v>16</v>
      </c>
      <c r="H6" s="5"/>
      <c r="I6" s="7"/>
      <c r="J6" s="5"/>
    </row>
    <row r="7" customFormat="false" ht="23.85" hidden="false" customHeight="false" outlineLevel="0" collapsed="false">
      <c r="A7" s="2" t="s">
        <v>34</v>
      </c>
      <c r="B7" s="3" t="s">
        <v>11</v>
      </c>
      <c r="C7" s="4" t="s">
        <v>35</v>
      </c>
      <c r="D7" s="5" t="s">
        <v>36</v>
      </c>
      <c r="E7" s="5" t="s">
        <v>37</v>
      </c>
      <c r="F7" s="6" t="s">
        <v>15</v>
      </c>
      <c r="G7" s="6" t="s">
        <v>16</v>
      </c>
      <c r="H7" s="5"/>
      <c r="I7" s="7"/>
      <c r="J7" s="5"/>
    </row>
    <row r="8" customFormat="false" ht="23.85" hidden="false" customHeight="false" outlineLevel="0" collapsed="false">
      <c r="A8" s="2" t="s">
        <v>38</v>
      </c>
      <c r="B8" s="3" t="s">
        <v>11</v>
      </c>
      <c r="C8" s="4" t="s">
        <v>39</v>
      </c>
      <c r="D8" s="5" t="s">
        <v>40</v>
      </c>
      <c r="E8" s="5" t="s">
        <v>41</v>
      </c>
      <c r="F8" s="6" t="s">
        <v>15</v>
      </c>
      <c r="G8" s="6" t="s">
        <v>16</v>
      </c>
      <c r="H8" s="5"/>
      <c r="I8" s="7"/>
      <c r="J8" s="5"/>
    </row>
    <row r="9" customFormat="false" ht="23.85" hidden="false" customHeight="false" outlineLevel="0" collapsed="false">
      <c r="A9" s="2" t="s">
        <v>42</v>
      </c>
      <c r="B9" s="3" t="s">
        <v>11</v>
      </c>
      <c r="C9" s="4" t="s">
        <v>43</v>
      </c>
      <c r="D9" s="5" t="s">
        <v>44</v>
      </c>
      <c r="E9" s="5" t="s">
        <v>45</v>
      </c>
      <c r="F9" s="6" t="s">
        <v>21</v>
      </c>
      <c r="G9" s="6" t="s">
        <v>16</v>
      </c>
      <c r="H9" s="5"/>
      <c r="I9" s="7"/>
      <c r="J9" s="5"/>
    </row>
    <row r="10" customFormat="false" ht="23.85" hidden="false" customHeight="false" outlineLevel="0" collapsed="false">
      <c r="A10" s="2" t="s">
        <v>46</v>
      </c>
      <c r="B10" s="3" t="s">
        <v>11</v>
      </c>
      <c r="C10" s="4" t="s">
        <v>47</v>
      </c>
      <c r="D10" s="5" t="s">
        <v>48</v>
      </c>
      <c r="E10" s="5" t="s">
        <v>49</v>
      </c>
      <c r="F10" s="6" t="s">
        <v>15</v>
      </c>
      <c r="G10" s="6" t="s">
        <v>16</v>
      </c>
      <c r="H10" s="5"/>
      <c r="I10" s="7"/>
      <c r="J10" s="5"/>
    </row>
    <row r="11" customFormat="false" ht="23.85" hidden="false" customHeight="false" outlineLevel="0" collapsed="false">
      <c r="A11" s="2" t="s">
        <v>50</v>
      </c>
      <c r="B11" s="3" t="s">
        <v>11</v>
      </c>
      <c r="C11" s="4" t="s">
        <v>51</v>
      </c>
      <c r="D11" s="5" t="s">
        <v>52</v>
      </c>
      <c r="E11" s="5" t="s">
        <v>53</v>
      </c>
      <c r="F11" s="6" t="s">
        <v>15</v>
      </c>
      <c r="G11" s="6" t="s">
        <v>16</v>
      </c>
      <c r="H11" s="5"/>
      <c r="I11" s="7"/>
      <c r="J11" s="5"/>
    </row>
    <row r="12" customFormat="false" ht="23.85" hidden="false" customHeight="false" outlineLevel="0" collapsed="false">
      <c r="A12" s="2" t="s">
        <v>54</v>
      </c>
      <c r="B12" s="3" t="s">
        <v>11</v>
      </c>
      <c r="C12" s="4" t="s">
        <v>55</v>
      </c>
      <c r="D12" s="5" t="s">
        <v>56</v>
      </c>
      <c r="E12" s="5" t="s">
        <v>57</v>
      </c>
      <c r="F12" s="6" t="s">
        <v>15</v>
      </c>
      <c r="G12" s="6" t="s">
        <v>16</v>
      </c>
      <c r="H12" s="5"/>
      <c r="I12" s="7"/>
      <c r="J12" s="5"/>
    </row>
    <row r="13" customFormat="false" ht="23.85" hidden="false" customHeight="false" outlineLevel="0" collapsed="false">
      <c r="A13" s="2" t="s">
        <v>58</v>
      </c>
      <c r="B13" s="3" t="s">
        <v>11</v>
      </c>
      <c r="C13" s="4" t="s">
        <v>59</v>
      </c>
      <c r="D13" s="5" t="s">
        <v>60</v>
      </c>
      <c r="E13" s="5" t="s">
        <v>61</v>
      </c>
      <c r="F13" s="6" t="s">
        <v>15</v>
      </c>
      <c r="G13" s="6" t="s">
        <v>16</v>
      </c>
      <c r="H13" s="5"/>
      <c r="I13" s="7"/>
      <c r="J13" s="5"/>
    </row>
    <row r="14" customFormat="false" ht="15" hidden="false" customHeight="false" outlineLevel="0" collapsed="false">
      <c r="A14" s="2" t="s">
        <v>62</v>
      </c>
      <c r="B14" s="3" t="s">
        <v>11</v>
      </c>
      <c r="C14" s="4" t="s">
        <v>63</v>
      </c>
      <c r="D14" s="5" t="s">
        <v>64</v>
      </c>
      <c r="E14" s="5" t="s">
        <v>65</v>
      </c>
      <c r="F14" s="6" t="s">
        <v>15</v>
      </c>
      <c r="G14" s="6" t="s">
        <v>16</v>
      </c>
      <c r="H14" s="5"/>
      <c r="I14" s="7"/>
      <c r="J14" s="5"/>
    </row>
    <row r="15" customFormat="false" ht="23.85" hidden="false" customHeight="false" outlineLevel="0" collapsed="false">
      <c r="A15" s="2" t="s">
        <v>66</v>
      </c>
      <c r="B15" s="3" t="s">
        <v>11</v>
      </c>
      <c r="C15" s="4" t="s">
        <v>67</v>
      </c>
      <c r="D15" s="5" t="s">
        <v>68</v>
      </c>
      <c r="E15" s="5" t="s">
        <v>69</v>
      </c>
      <c r="F15" s="6" t="s">
        <v>15</v>
      </c>
      <c r="G15" s="6" t="s">
        <v>16</v>
      </c>
      <c r="H15" s="5"/>
      <c r="I15" s="7"/>
      <c r="J15" s="5"/>
    </row>
    <row r="16" customFormat="false" ht="23.85" hidden="false" customHeight="false" outlineLevel="0" collapsed="false">
      <c r="A16" s="2" t="s">
        <v>70</v>
      </c>
      <c r="B16" s="3" t="s">
        <v>11</v>
      </c>
      <c r="C16" s="4" t="s">
        <v>71</v>
      </c>
      <c r="D16" s="5" t="s">
        <v>72</v>
      </c>
      <c r="E16" s="5" t="s">
        <v>73</v>
      </c>
      <c r="F16" s="6" t="s">
        <v>15</v>
      </c>
      <c r="G16" s="6" t="s">
        <v>16</v>
      </c>
      <c r="H16" s="5"/>
      <c r="I16" s="7"/>
      <c r="J16" s="5"/>
    </row>
    <row r="17" customFormat="false" ht="23.85" hidden="false" customHeight="false" outlineLevel="0" collapsed="false">
      <c r="A17" s="2" t="s">
        <v>74</v>
      </c>
      <c r="B17" s="3" t="s">
        <v>11</v>
      </c>
      <c r="C17" s="4" t="s">
        <v>75</v>
      </c>
      <c r="D17" s="5" t="s">
        <v>76</v>
      </c>
      <c r="E17" s="5" t="s">
        <v>77</v>
      </c>
      <c r="F17" s="6" t="s">
        <v>21</v>
      </c>
      <c r="G17" s="6" t="s">
        <v>16</v>
      </c>
      <c r="H17" s="5"/>
      <c r="I17" s="7"/>
      <c r="J17" s="5"/>
    </row>
    <row r="18" customFormat="false" ht="23.85" hidden="false" customHeight="false" outlineLevel="0" collapsed="false">
      <c r="A18" s="2" t="s">
        <v>78</v>
      </c>
      <c r="B18" s="3" t="s">
        <v>11</v>
      </c>
      <c r="C18" s="4" t="s">
        <v>79</v>
      </c>
      <c r="D18" s="5" t="s">
        <v>80</v>
      </c>
      <c r="E18" s="5" t="s">
        <v>81</v>
      </c>
      <c r="F18" s="6" t="s">
        <v>15</v>
      </c>
      <c r="G18" s="6" t="s">
        <v>16</v>
      </c>
      <c r="H18" s="5"/>
      <c r="I18" s="7"/>
      <c r="J18" s="5"/>
    </row>
    <row r="19" customFormat="false" ht="15" hidden="false" customHeight="false" outlineLevel="0" collapsed="false">
      <c r="A19" s="2" t="s">
        <v>82</v>
      </c>
      <c r="B19" s="3" t="s">
        <v>11</v>
      </c>
      <c r="C19" s="4" t="s">
        <v>83</v>
      </c>
      <c r="D19" s="5" t="s">
        <v>84</v>
      </c>
      <c r="E19" s="5" t="s">
        <v>85</v>
      </c>
      <c r="F19" s="6" t="s">
        <v>21</v>
      </c>
      <c r="G19" s="6" t="s">
        <v>16</v>
      </c>
      <c r="H19" s="5"/>
      <c r="I19" s="7"/>
      <c r="J19" s="5"/>
    </row>
    <row r="20" customFormat="false" ht="15" hidden="false" customHeight="false" outlineLevel="0" collapsed="false">
      <c r="A20" s="2" t="s">
        <v>86</v>
      </c>
      <c r="B20" s="3" t="s">
        <v>11</v>
      </c>
      <c r="C20" s="4" t="s">
        <v>87</v>
      </c>
      <c r="D20" s="5" t="s">
        <v>88</v>
      </c>
      <c r="E20" s="5" t="s">
        <v>89</v>
      </c>
      <c r="F20" s="6" t="s">
        <v>21</v>
      </c>
      <c r="G20" s="6" t="s">
        <v>16</v>
      </c>
      <c r="H20" s="5"/>
      <c r="I20" s="7"/>
      <c r="J20" s="5"/>
    </row>
    <row r="21" customFormat="false" ht="15" hidden="false" customHeight="false" outlineLevel="0" collapsed="false">
      <c r="A21" s="2" t="s">
        <v>90</v>
      </c>
      <c r="B21" s="3" t="s">
        <v>11</v>
      </c>
      <c r="C21" s="4" t="s">
        <v>91</v>
      </c>
      <c r="D21" s="5" t="s">
        <v>92</v>
      </c>
      <c r="E21" s="5" t="s">
        <v>93</v>
      </c>
      <c r="F21" s="6" t="s">
        <v>21</v>
      </c>
      <c r="G21" s="6" t="s">
        <v>16</v>
      </c>
      <c r="H21" s="5"/>
      <c r="I21" s="7"/>
      <c r="J21" s="5"/>
    </row>
    <row r="22" customFormat="false" ht="15" hidden="false" customHeight="false" outlineLevel="0" collapsed="false">
      <c r="A22" s="2" t="s">
        <v>94</v>
      </c>
      <c r="B22" s="3" t="s">
        <v>11</v>
      </c>
      <c r="C22" s="4" t="s">
        <v>95</v>
      </c>
      <c r="D22" s="5" t="s">
        <v>96</v>
      </c>
      <c r="E22" s="5" t="s">
        <v>97</v>
      </c>
      <c r="F22" s="6" t="s">
        <v>21</v>
      </c>
      <c r="G22" s="6" t="s">
        <v>16</v>
      </c>
      <c r="H22" s="5"/>
      <c r="I22" s="7"/>
      <c r="J22" s="5"/>
    </row>
    <row r="23" customFormat="false" ht="23.85" hidden="false" customHeight="false" outlineLevel="0" collapsed="false">
      <c r="A23" s="8" t="s">
        <v>98</v>
      </c>
      <c r="B23" s="9" t="s">
        <v>99</v>
      </c>
      <c r="C23" s="4" t="s">
        <v>100</v>
      </c>
      <c r="D23" s="5" t="s">
        <v>101</v>
      </c>
      <c r="E23" s="5" t="s">
        <v>102</v>
      </c>
      <c r="F23" s="6" t="s">
        <v>15</v>
      </c>
      <c r="G23" s="6" t="s">
        <v>16</v>
      </c>
      <c r="H23" s="5"/>
      <c r="I23" s="7"/>
      <c r="J23" s="5"/>
    </row>
    <row r="24" customFormat="false" ht="15" hidden="false" customHeight="false" outlineLevel="0" collapsed="false">
      <c r="A24" s="8" t="s">
        <v>103</v>
      </c>
      <c r="B24" s="9" t="s">
        <v>99</v>
      </c>
      <c r="C24" s="4" t="s">
        <v>104</v>
      </c>
      <c r="D24" s="5" t="s">
        <v>105</v>
      </c>
      <c r="E24" s="5" t="s">
        <v>106</v>
      </c>
      <c r="F24" s="6" t="s">
        <v>15</v>
      </c>
      <c r="G24" s="6" t="s">
        <v>16</v>
      </c>
      <c r="H24" s="5"/>
      <c r="I24" s="7"/>
      <c r="J24" s="5"/>
    </row>
    <row r="25" customFormat="false" ht="23.85" hidden="false" customHeight="false" outlineLevel="0" collapsed="false">
      <c r="A25" s="8" t="s">
        <v>107</v>
      </c>
      <c r="B25" s="9" t="s">
        <v>99</v>
      </c>
      <c r="C25" s="4" t="s">
        <v>108</v>
      </c>
      <c r="D25" s="5" t="s">
        <v>109</v>
      </c>
      <c r="E25" s="5" t="s">
        <v>110</v>
      </c>
      <c r="F25" s="6" t="s">
        <v>15</v>
      </c>
      <c r="G25" s="6" t="s">
        <v>16</v>
      </c>
      <c r="H25" s="5"/>
      <c r="I25" s="7"/>
      <c r="J25" s="5"/>
    </row>
    <row r="26" customFormat="false" ht="23.85" hidden="false" customHeight="false" outlineLevel="0" collapsed="false">
      <c r="A26" s="8" t="s">
        <v>111</v>
      </c>
      <c r="B26" s="9" t="s">
        <v>99</v>
      </c>
      <c r="C26" s="4" t="s">
        <v>112</v>
      </c>
      <c r="D26" s="5" t="s">
        <v>113</v>
      </c>
      <c r="E26" s="5" t="s">
        <v>114</v>
      </c>
      <c r="F26" s="6" t="s">
        <v>15</v>
      </c>
      <c r="G26" s="6" t="s">
        <v>16</v>
      </c>
      <c r="H26" s="5"/>
      <c r="I26" s="7"/>
      <c r="J26" s="5"/>
    </row>
    <row r="27" customFormat="false" ht="23.85" hidden="false" customHeight="false" outlineLevel="0" collapsed="false">
      <c r="A27" s="8" t="s">
        <v>115</v>
      </c>
      <c r="B27" s="9" t="s">
        <v>99</v>
      </c>
      <c r="C27" s="4" t="s">
        <v>116</v>
      </c>
      <c r="D27" s="5" t="s">
        <v>117</v>
      </c>
      <c r="E27" s="5" t="s">
        <v>118</v>
      </c>
      <c r="F27" s="6" t="s">
        <v>15</v>
      </c>
      <c r="G27" s="6" t="s">
        <v>16</v>
      </c>
      <c r="H27" s="5"/>
      <c r="I27" s="7"/>
      <c r="J27" s="5"/>
    </row>
    <row r="28" customFormat="false" ht="15" hidden="false" customHeight="false" outlineLevel="0" collapsed="false">
      <c r="A28" s="8" t="s">
        <v>119</v>
      </c>
      <c r="B28" s="9" t="s">
        <v>99</v>
      </c>
      <c r="C28" s="4" t="s">
        <v>120</v>
      </c>
      <c r="D28" s="5" t="s">
        <v>121</v>
      </c>
      <c r="E28" s="5" t="s">
        <v>122</v>
      </c>
      <c r="F28" s="6" t="s">
        <v>15</v>
      </c>
      <c r="G28" s="6" t="s">
        <v>16</v>
      </c>
      <c r="H28" s="5"/>
      <c r="I28" s="7"/>
      <c r="J28" s="5"/>
    </row>
    <row r="29" customFormat="false" ht="15" hidden="false" customHeight="false" outlineLevel="0" collapsed="false">
      <c r="A29" s="8" t="s">
        <v>123</v>
      </c>
      <c r="B29" s="9" t="s">
        <v>99</v>
      </c>
      <c r="C29" s="4" t="s">
        <v>124</v>
      </c>
      <c r="D29" s="5" t="s">
        <v>125</v>
      </c>
      <c r="E29" s="5" t="s">
        <v>126</v>
      </c>
      <c r="F29" s="6" t="s">
        <v>21</v>
      </c>
      <c r="G29" s="6" t="s">
        <v>16</v>
      </c>
      <c r="H29" s="5"/>
      <c r="I29" s="7"/>
      <c r="J29" s="5"/>
    </row>
    <row r="30" customFormat="false" ht="15" hidden="false" customHeight="false" outlineLevel="0" collapsed="false">
      <c r="A30" s="8" t="s">
        <v>127</v>
      </c>
      <c r="B30" s="9" t="s">
        <v>99</v>
      </c>
      <c r="C30" s="4" t="s">
        <v>128</v>
      </c>
      <c r="D30" s="5" t="s">
        <v>129</v>
      </c>
      <c r="E30" s="5" t="s">
        <v>130</v>
      </c>
      <c r="F30" s="6" t="s">
        <v>15</v>
      </c>
      <c r="G30" s="6" t="s">
        <v>16</v>
      </c>
      <c r="H30" s="5"/>
      <c r="I30" s="7"/>
      <c r="J30" s="5"/>
    </row>
    <row r="31" customFormat="false" ht="15" hidden="false" customHeight="false" outlineLevel="0" collapsed="false">
      <c r="A31" s="8" t="s">
        <v>131</v>
      </c>
      <c r="B31" s="9" t="s">
        <v>99</v>
      </c>
      <c r="C31" s="4" t="s">
        <v>132</v>
      </c>
      <c r="D31" s="5" t="s">
        <v>133</v>
      </c>
      <c r="E31" s="5" t="s">
        <v>134</v>
      </c>
      <c r="F31" s="6" t="s">
        <v>15</v>
      </c>
      <c r="G31" s="6" t="s">
        <v>16</v>
      </c>
      <c r="H31" s="5"/>
      <c r="I31" s="7"/>
      <c r="J31" s="5"/>
    </row>
    <row r="32" customFormat="false" ht="15" hidden="false" customHeight="false" outlineLevel="0" collapsed="false">
      <c r="A32" s="8" t="s">
        <v>135</v>
      </c>
      <c r="B32" s="9" t="s">
        <v>99</v>
      </c>
      <c r="C32" s="4" t="s">
        <v>136</v>
      </c>
      <c r="D32" s="5" t="s">
        <v>137</v>
      </c>
      <c r="E32" s="5" t="s">
        <v>138</v>
      </c>
      <c r="F32" s="6" t="s">
        <v>15</v>
      </c>
      <c r="G32" s="6" t="s">
        <v>16</v>
      </c>
      <c r="H32" s="5"/>
      <c r="I32" s="7"/>
      <c r="J32" s="5"/>
    </row>
    <row r="33" customFormat="false" ht="15" hidden="false" customHeight="false" outlineLevel="0" collapsed="false">
      <c r="A33" s="8" t="s">
        <v>139</v>
      </c>
      <c r="B33" s="9" t="s">
        <v>99</v>
      </c>
      <c r="C33" s="4" t="s">
        <v>140</v>
      </c>
      <c r="D33" s="5" t="s">
        <v>141</v>
      </c>
      <c r="E33" s="5" t="s">
        <v>142</v>
      </c>
      <c r="F33" s="6" t="s">
        <v>21</v>
      </c>
      <c r="G33" s="6" t="s">
        <v>16</v>
      </c>
      <c r="H33" s="5"/>
      <c r="I33" s="7"/>
      <c r="J33" s="5"/>
    </row>
    <row r="34" customFormat="false" ht="15" hidden="false" customHeight="false" outlineLevel="0" collapsed="false">
      <c r="A34" s="8" t="s">
        <v>143</v>
      </c>
      <c r="B34" s="9" t="s">
        <v>99</v>
      </c>
      <c r="C34" s="4" t="s">
        <v>144</v>
      </c>
      <c r="D34" s="5" t="s">
        <v>145</v>
      </c>
      <c r="E34" s="5" t="s">
        <v>146</v>
      </c>
      <c r="F34" s="6" t="s">
        <v>15</v>
      </c>
      <c r="G34" s="6" t="s">
        <v>16</v>
      </c>
      <c r="H34" s="5"/>
      <c r="I34" s="7"/>
      <c r="J34" s="5"/>
    </row>
    <row r="35" customFormat="false" ht="15" hidden="false" customHeight="false" outlineLevel="0" collapsed="false">
      <c r="A35" s="8" t="s">
        <v>147</v>
      </c>
      <c r="B35" s="9" t="s">
        <v>99</v>
      </c>
      <c r="C35" s="4" t="s">
        <v>148</v>
      </c>
      <c r="D35" s="5" t="s">
        <v>149</v>
      </c>
      <c r="E35" s="5" t="s">
        <v>150</v>
      </c>
      <c r="F35" s="6" t="s">
        <v>15</v>
      </c>
      <c r="G35" s="6" t="s">
        <v>16</v>
      </c>
      <c r="H35" s="5"/>
      <c r="I35" s="7"/>
      <c r="J35" s="5"/>
    </row>
    <row r="36" customFormat="false" ht="15" hidden="false" customHeight="false" outlineLevel="0" collapsed="false">
      <c r="A36" s="8" t="s">
        <v>151</v>
      </c>
      <c r="B36" s="9" t="s">
        <v>99</v>
      </c>
      <c r="C36" s="4" t="s">
        <v>152</v>
      </c>
      <c r="D36" s="5" t="s">
        <v>153</v>
      </c>
      <c r="E36" s="5" t="s">
        <v>154</v>
      </c>
      <c r="F36" s="6" t="s">
        <v>15</v>
      </c>
      <c r="G36" s="6" t="s">
        <v>16</v>
      </c>
      <c r="H36" s="5"/>
      <c r="I36" s="7"/>
      <c r="J36" s="5"/>
    </row>
    <row r="37" customFormat="false" ht="15" hidden="false" customHeight="false" outlineLevel="0" collapsed="false">
      <c r="A37" s="8" t="s">
        <v>155</v>
      </c>
      <c r="B37" s="9" t="s">
        <v>99</v>
      </c>
      <c r="C37" s="4" t="s">
        <v>156</v>
      </c>
      <c r="D37" s="5" t="s">
        <v>157</v>
      </c>
      <c r="E37" s="5" t="s">
        <v>158</v>
      </c>
      <c r="F37" s="6" t="s">
        <v>15</v>
      </c>
      <c r="G37" s="6" t="s">
        <v>16</v>
      </c>
      <c r="H37" s="5"/>
      <c r="I37" s="7"/>
      <c r="J37" s="5"/>
    </row>
    <row r="38" customFormat="false" ht="15" hidden="false" customHeight="false" outlineLevel="0" collapsed="false">
      <c r="A38" s="8" t="s">
        <v>159</v>
      </c>
      <c r="B38" s="9" t="s">
        <v>99</v>
      </c>
      <c r="C38" s="4" t="s">
        <v>160</v>
      </c>
      <c r="D38" s="5" t="s">
        <v>161</v>
      </c>
      <c r="E38" s="5" t="s">
        <v>162</v>
      </c>
      <c r="F38" s="6" t="s">
        <v>15</v>
      </c>
      <c r="G38" s="6" t="s">
        <v>16</v>
      </c>
      <c r="H38" s="5"/>
      <c r="I38" s="7"/>
      <c r="J38" s="5"/>
    </row>
    <row r="39" customFormat="false" ht="15" hidden="false" customHeight="false" outlineLevel="0" collapsed="false">
      <c r="A39" s="8" t="s">
        <v>163</v>
      </c>
      <c r="B39" s="9" t="s">
        <v>99</v>
      </c>
      <c r="C39" s="4" t="s">
        <v>164</v>
      </c>
      <c r="D39" s="5" t="s">
        <v>165</v>
      </c>
      <c r="E39" s="5" t="s">
        <v>166</v>
      </c>
      <c r="F39" s="6" t="s">
        <v>15</v>
      </c>
      <c r="G39" s="6" t="s">
        <v>16</v>
      </c>
      <c r="H39" s="5"/>
      <c r="I39" s="7"/>
      <c r="J39" s="5"/>
    </row>
    <row r="40" customFormat="false" ht="23.85" hidden="false" customHeight="false" outlineLevel="0" collapsed="false">
      <c r="A40" s="8" t="s">
        <v>167</v>
      </c>
      <c r="B40" s="9" t="s">
        <v>99</v>
      </c>
      <c r="C40" s="4" t="s">
        <v>168</v>
      </c>
      <c r="D40" s="5" t="s">
        <v>169</v>
      </c>
      <c r="E40" s="5" t="s">
        <v>170</v>
      </c>
      <c r="F40" s="6" t="s">
        <v>15</v>
      </c>
      <c r="G40" s="6" t="s">
        <v>16</v>
      </c>
      <c r="H40" s="5"/>
      <c r="I40" s="7"/>
      <c r="J40" s="5"/>
    </row>
    <row r="41" customFormat="false" ht="15" hidden="false" customHeight="false" outlineLevel="0" collapsed="false">
      <c r="A41" s="8" t="s">
        <v>171</v>
      </c>
      <c r="B41" s="9" t="s">
        <v>99</v>
      </c>
      <c r="C41" s="4" t="s">
        <v>172</v>
      </c>
      <c r="D41" s="5" t="s">
        <v>173</v>
      </c>
      <c r="E41" s="5" t="s">
        <v>174</v>
      </c>
      <c r="F41" s="6" t="s">
        <v>175</v>
      </c>
      <c r="G41" s="6" t="s">
        <v>16</v>
      </c>
      <c r="H41" s="5"/>
      <c r="I41" s="7"/>
      <c r="J41" s="5"/>
    </row>
    <row r="42" customFormat="false" ht="15" hidden="false" customHeight="false" outlineLevel="0" collapsed="false">
      <c r="A42" s="2" t="s">
        <v>176</v>
      </c>
      <c r="B42" s="3" t="s">
        <v>177</v>
      </c>
      <c r="C42" s="4" t="s">
        <v>178</v>
      </c>
      <c r="D42" s="5" t="s">
        <v>179</v>
      </c>
      <c r="E42" s="5" t="s">
        <v>180</v>
      </c>
      <c r="F42" s="6" t="s">
        <v>15</v>
      </c>
      <c r="G42" s="6" t="s">
        <v>16</v>
      </c>
      <c r="H42" s="5"/>
      <c r="I42" s="7"/>
      <c r="J42" s="5"/>
    </row>
    <row r="43" customFormat="false" ht="15" hidden="false" customHeight="false" outlineLevel="0" collapsed="false">
      <c r="A43" s="2" t="s">
        <v>181</v>
      </c>
      <c r="B43" s="3" t="s">
        <v>177</v>
      </c>
      <c r="C43" s="4" t="s">
        <v>182</v>
      </c>
      <c r="D43" s="5" t="s">
        <v>183</v>
      </c>
      <c r="E43" s="5" t="s">
        <v>180</v>
      </c>
      <c r="F43" s="6" t="s">
        <v>15</v>
      </c>
      <c r="G43" s="6" t="s">
        <v>16</v>
      </c>
      <c r="H43" s="5"/>
      <c r="I43" s="7"/>
      <c r="J43" s="5"/>
    </row>
    <row r="44" customFormat="false" ht="15" hidden="false" customHeight="false" outlineLevel="0" collapsed="false">
      <c r="A44" s="2" t="s">
        <v>184</v>
      </c>
      <c r="B44" s="3" t="s">
        <v>177</v>
      </c>
      <c r="C44" s="4" t="s">
        <v>185</v>
      </c>
      <c r="D44" s="5" t="s">
        <v>186</v>
      </c>
      <c r="E44" s="5" t="s">
        <v>187</v>
      </c>
      <c r="F44" s="6" t="s">
        <v>15</v>
      </c>
      <c r="G44" s="6" t="s">
        <v>16</v>
      </c>
      <c r="H44" s="5"/>
      <c r="I44" s="7"/>
      <c r="J44" s="5"/>
    </row>
    <row r="45" customFormat="false" ht="15" hidden="false" customHeight="false" outlineLevel="0" collapsed="false">
      <c r="A45" s="2" t="s">
        <v>188</v>
      </c>
      <c r="B45" s="3" t="s">
        <v>177</v>
      </c>
      <c r="C45" s="4" t="s">
        <v>189</v>
      </c>
      <c r="D45" s="5" t="s">
        <v>190</v>
      </c>
      <c r="E45" s="5" t="s">
        <v>180</v>
      </c>
      <c r="F45" s="6" t="s">
        <v>21</v>
      </c>
      <c r="G45" s="6" t="s">
        <v>16</v>
      </c>
      <c r="H45" s="5"/>
      <c r="I45" s="7"/>
      <c r="J45" s="5"/>
    </row>
    <row r="46" customFormat="false" ht="23.85" hidden="false" customHeight="false" outlineLevel="0" collapsed="false">
      <c r="A46" s="2" t="s">
        <v>191</v>
      </c>
      <c r="B46" s="3" t="s">
        <v>177</v>
      </c>
      <c r="C46" s="4" t="s">
        <v>192</v>
      </c>
      <c r="D46" s="5" t="s">
        <v>193</v>
      </c>
      <c r="E46" s="5" t="s">
        <v>180</v>
      </c>
      <c r="F46" s="6" t="s">
        <v>15</v>
      </c>
      <c r="G46" s="6" t="s">
        <v>16</v>
      </c>
      <c r="H46" s="5"/>
      <c r="I46" s="7"/>
      <c r="J46" s="5"/>
    </row>
    <row r="47" customFormat="false" ht="15" hidden="false" customHeight="false" outlineLevel="0" collapsed="false">
      <c r="A47" s="2" t="s">
        <v>194</v>
      </c>
      <c r="B47" s="3" t="s">
        <v>177</v>
      </c>
      <c r="C47" s="4" t="s">
        <v>195</v>
      </c>
      <c r="D47" s="5" t="s">
        <v>196</v>
      </c>
      <c r="E47" s="5" t="s">
        <v>197</v>
      </c>
      <c r="F47" s="6" t="s">
        <v>15</v>
      </c>
      <c r="G47" s="6" t="s">
        <v>16</v>
      </c>
      <c r="H47" s="5"/>
      <c r="I47" s="7"/>
      <c r="J47" s="5"/>
    </row>
    <row r="48" customFormat="false" ht="23.85" hidden="false" customHeight="false" outlineLevel="0" collapsed="false">
      <c r="A48" s="2" t="s">
        <v>198</v>
      </c>
      <c r="B48" s="3" t="s">
        <v>177</v>
      </c>
      <c r="C48" s="4" t="s">
        <v>199</v>
      </c>
      <c r="D48" s="5" t="s">
        <v>200</v>
      </c>
      <c r="E48" s="5" t="s">
        <v>201</v>
      </c>
      <c r="F48" s="6" t="s">
        <v>15</v>
      </c>
      <c r="G48" s="6" t="s">
        <v>16</v>
      </c>
      <c r="H48" s="5"/>
      <c r="I48" s="7"/>
      <c r="J48" s="5"/>
    </row>
    <row r="49" customFormat="false" ht="15" hidden="false" customHeight="false" outlineLevel="0" collapsed="false">
      <c r="A49" s="2" t="s">
        <v>202</v>
      </c>
      <c r="B49" s="3" t="s">
        <v>177</v>
      </c>
      <c r="C49" s="4" t="s">
        <v>203</v>
      </c>
      <c r="D49" s="5" t="s">
        <v>204</v>
      </c>
      <c r="E49" s="5" t="s">
        <v>205</v>
      </c>
      <c r="F49" s="6" t="s">
        <v>15</v>
      </c>
      <c r="G49" s="6" t="s">
        <v>16</v>
      </c>
      <c r="H49" s="5"/>
      <c r="I49" s="7"/>
      <c r="J49" s="5"/>
    </row>
    <row r="50" customFormat="false" ht="15" hidden="false" customHeight="false" outlineLevel="0" collapsed="false">
      <c r="A50" s="2" t="s">
        <v>206</v>
      </c>
      <c r="B50" s="3" t="s">
        <v>177</v>
      </c>
      <c r="C50" s="4" t="s">
        <v>207</v>
      </c>
      <c r="D50" s="5" t="s">
        <v>208</v>
      </c>
      <c r="E50" s="5" t="s">
        <v>209</v>
      </c>
      <c r="F50" s="6" t="s">
        <v>15</v>
      </c>
      <c r="G50" s="6" t="s">
        <v>16</v>
      </c>
      <c r="H50" s="5"/>
      <c r="I50" s="7"/>
      <c r="J50" s="5"/>
    </row>
    <row r="51" customFormat="false" ht="23.85" hidden="false" customHeight="false" outlineLevel="0" collapsed="false">
      <c r="A51" s="2" t="s">
        <v>210</v>
      </c>
      <c r="B51" s="3" t="s">
        <v>177</v>
      </c>
      <c r="C51" s="4" t="s">
        <v>211</v>
      </c>
      <c r="D51" s="5" t="s">
        <v>212</v>
      </c>
      <c r="E51" s="5" t="s">
        <v>213</v>
      </c>
      <c r="F51" s="6" t="s">
        <v>15</v>
      </c>
      <c r="G51" s="6" t="s">
        <v>16</v>
      </c>
      <c r="H51" s="5"/>
      <c r="I51" s="7"/>
      <c r="J51" s="5"/>
    </row>
    <row r="52" customFormat="false" ht="23.85" hidden="false" customHeight="false" outlineLevel="0" collapsed="false">
      <c r="A52" s="2" t="s">
        <v>214</v>
      </c>
      <c r="B52" s="3" t="s">
        <v>177</v>
      </c>
      <c r="C52" s="4" t="s">
        <v>215</v>
      </c>
      <c r="D52" s="5" t="s">
        <v>216</v>
      </c>
      <c r="E52" s="5" t="s">
        <v>217</v>
      </c>
      <c r="F52" s="6" t="s">
        <v>15</v>
      </c>
      <c r="G52" s="6" t="s">
        <v>16</v>
      </c>
      <c r="H52" s="5"/>
      <c r="I52" s="7"/>
      <c r="J52" s="5"/>
    </row>
    <row r="53" customFormat="false" ht="15" hidden="false" customHeight="false" outlineLevel="0" collapsed="false">
      <c r="A53" s="2" t="s">
        <v>218</v>
      </c>
      <c r="B53" s="3" t="s">
        <v>177</v>
      </c>
      <c r="C53" s="4" t="s">
        <v>219</v>
      </c>
      <c r="D53" s="5" t="s">
        <v>220</v>
      </c>
      <c r="E53" s="5" t="s">
        <v>221</v>
      </c>
      <c r="F53" s="6" t="s">
        <v>21</v>
      </c>
      <c r="G53" s="6" t="s">
        <v>16</v>
      </c>
      <c r="H53" s="5"/>
      <c r="I53" s="7"/>
      <c r="J53" s="5"/>
    </row>
    <row r="54" customFormat="false" ht="23.85" hidden="false" customHeight="false" outlineLevel="0" collapsed="false">
      <c r="A54" s="2" t="s">
        <v>222</v>
      </c>
      <c r="B54" s="3" t="s">
        <v>177</v>
      </c>
      <c r="C54" s="4" t="s">
        <v>223</v>
      </c>
      <c r="D54" s="5" t="s">
        <v>224</v>
      </c>
      <c r="E54" s="5" t="s">
        <v>225</v>
      </c>
      <c r="F54" s="6" t="s">
        <v>21</v>
      </c>
      <c r="G54" s="6" t="s">
        <v>16</v>
      </c>
      <c r="H54" s="5"/>
      <c r="I54" s="7"/>
      <c r="J54" s="5"/>
    </row>
    <row r="55" customFormat="false" ht="23.85" hidden="false" customHeight="false" outlineLevel="0" collapsed="false">
      <c r="A55" s="8" t="s">
        <v>226</v>
      </c>
      <c r="B55" s="9" t="s">
        <v>227</v>
      </c>
      <c r="C55" s="4" t="s">
        <v>228</v>
      </c>
      <c r="D55" s="5" t="s">
        <v>229</v>
      </c>
      <c r="E55" s="5" t="s">
        <v>230</v>
      </c>
      <c r="F55" s="6" t="s">
        <v>15</v>
      </c>
      <c r="G55" s="6" t="s">
        <v>16</v>
      </c>
      <c r="H55" s="5"/>
      <c r="I55" s="7"/>
      <c r="J55" s="5"/>
    </row>
    <row r="56" customFormat="false" ht="15" hidden="false" customHeight="false" outlineLevel="0" collapsed="false">
      <c r="A56" s="8" t="s">
        <v>231</v>
      </c>
      <c r="B56" s="9" t="s">
        <v>227</v>
      </c>
      <c r="C56" s="4" t="s">
        <v>232</v>
      </c>
      <c r="D56" s="5" t="s">
        <v>233</v>
      </c>
      <c r="E56" s="5" t="s">
        <v>234</v>
      </c>
      <c r="F56" s="6" t="s">
        <v>15</v>
      </c>
      <c r="G56" s="6" t="s">
        <v>16</v>
      </c>
      <c r="H56" s="5"/>
      <c r="I56" s="7"/>
      <c r="J56" s="5"/>
    </row>
    <row r="57" customFormat="false" ht="23.85" hidden="false" customHeight="false" outlineLevel="0" collapsed="false">
      <c r="A57" s="8" t="s">
        <v>235</v>
      </c>
      <c r="B57" s="9" t="s">
        <v>227</v>
      </c>
      <c r="C57" s="4" t="s">
        <v>236</v>
      </c>
      <c r="D57" s="5" t="s">
        <v>237</v>
      </c>
      <c r="E57" s="5" t="s">
        <v>238</v>
      </c>
      <c r="F57" s="6" t="s">
        <v>15</v>
      </c>
      <c r="G57" s="6" t="s">
        <v>16</v>
      </c>
      <c r="H57" s="5"/>
      <c r="I57" s="7"/>
      <c r="J57" s="5"/>
    </row>
    <row r="58" customFormat="false" ht="15" hidden="false" customHeight="false" outlineLevel="0" collapsed="false">
      <c r="A58" s="8" t="s">
        <v>239</v>
      </c>
      <c r="B58" s="9" t="s">
        <v>227</v>
      </c>
      <c r="C58" s="4" t="s">
        <v>240</v>
      </c>
      <c r="D58" s="5" t="s">
        <v>241</v>
      </c>
      <c r="E58" s="5" t="s">
        <v>242</v>
      </c>
      <c r="F58" s="6" t="s">
        <v>15</v>
      </c>
      <c r="G58" s="6" t="s">
        <v>16</v>
      </c>
      <c r="H58" s="5"/>
      <c r="I58" s="7"/>
      <c r="J58" s="5"/>
    </row>
    <row r="59" customFormat="false" ht="15" hidden="false" customHeight="false" outlineLevel="0" collapsed="false">
      <c r="A59" s="8" t="s">
        <v>243</v>
      </c>
      <c r="B59" s="9" t="s">
        <v>227</v>
      </c>
      <c r="C59" s="4" t="s">
        <v>244</v>
      </c>
      <c r="D59" s="5" t="s">
        <v>245</v>
      </c>
      <c r="E59" s="5" t="s">
        <v>246</v>
      </c>
      <c r="F59" s="6" t="s">
        <v>21</v>
      </c>
      <c r="G59" s="6" t="s">
        <v>16</v>
      </c>
      <c r="H59" s="5"/>
      <c r="I59" s="7"/>
      <c r="J59" s="5"/>
    </row>
    <row r="60" customFormat="false" ht="23.85" hidden="false" customHeight="false" outlineLevel="0" collapsed="false">
      <c r="A60" s="8" t="s">
        <v>247</v>
      </c>
      <c r="B60" s="9" t="s">
        <v>227</v>
      </c>
      <c r="C60" s="4" t="s">
        <v>248</v>
      </c>
      <c r="D60" s="5" t="s">
        <v>249</v>
      </c>
      <c r="E60" s="5" t="s">
        <v>250</v>
      </c>
      <c r="F60" s="6" t="s">
        <v>15</v>
      </c>
      <c r="G60" s="6" t="s">
        <v>16</v>
      </c>
      <c r="H60" s="5"/>
      <c r="I60" s="7"/>
      <c r="J60" s="5"/>
    </row>
    <row r="61" customFormat="false" ht="23.85" hidden="false" customHeight="false" outlineLevel="0" collapsed="false">
      <c r="A61" s="8" t="s">
        <v>251</v>
      </c>
      <c r="B61" s="9" t="s">
        <v>227</v>
      </c>
      <c r="C61" s="4" t="s">
        <v>252</v>
      </c>
      <c r="D61" s="5" t="s">
        <v>253</v>
      </c>
      <c r="E61" s="5" t="s">
        <v>254</v>
      </c>
      <c r="F61" s="6" t="s">
        <v>15</v>
      </c>
      <c r="G61" s="6" t="s">
        <v>16</v>
      </c>
      <c r="H61" s="5"/>
      <c r="I61" s="7"/>
      <c r="J61" s="5"/>
    </row>
    <row r="62" customFormat="false" ht="15" hidden="false" customHeight="false" outlineLevel="0" collapsed="false">
      <c r="A62" s="8" t="s">
        <v>255</v>
      </c>
      <c r="B62" s="9" t="s">
        <v>227</v>
      </c>
      <c r="C62" s="4" t="s">
        <v>256</v>
      </c>
      <c r="D62" s="5" t="s">
        <v>257</v>
      </c>
      <c r="E62" s="5" t="s">
        <v>258</v>
      </c>
      <c r="F62" s="6" t="s">
        <v>175</v>
      </c>
      <c r="G62" s="6" t="s">
        <v>16</v>
      </c>
      <c r="H62" s="5"/>
      <c r="I62" s="7"/>
      <c r="J62" s="5"/>
    </row>
    <row r="63" customFormat="false" ht="23.85" hidden="false" customHeight="false" outlineLevel="0" collapsed="false">
      <c r="A63" s="2" t="s">
        <v>259</v>
      </c>
      <c r="B63" s="3" t="s">
        <v>260</v>
      </c>
      <c r="C63" s="4" t="s">
        <v>261</v>
      </c>
      <c r="D63" s="5" t="s">
        <v>262</v>
      </c>
      <c r="E63" s="5" t="s">
        <v>263</v>
      </c>
      <c r="F63" s="6" t="s">
        <v>15</v>
      </c>
      <c r="G63" s="6" t="s">
        <v>16</v>
      </c>
      <c r="H63" s="5"/>
      <c r="I63" s="7"/>
      <c r="J63" s="5"/>
    </row>
    <row r="64" customFormat="false" ht="15" hidden="false" customHeight="false" outlineLevel="0" collapsed="false">
      <c r="A64" s="2" t="s">
        <v>264</v>
      </c>
      <c r="B64" s="3" t="s">
        <v>260</v>
      </c>
      <c r="C64" s="4" t="s">
        <v>265</v>
      </c>
      <c r="D64" s="5" t="s">
        <v>266</v>
      </c>
      <c r="E64" s="5" t="s">
        <v>267</v>
      </c>
      <c r="F64" s="6" t="s">
        <v>15</v>
      </c>
      <c r="G64" s="6" t="s">
        <v>16</v>
      </c>
      <c r="H64" s="5"/>
      <c r="I64" s="7"/>
      <c r="J64" s="5"/>
    </row>
    <row r="65" customFormat="false" ht="23.85" hidden="false" customHeight="false" outlineLevel="0" collapsed="false">
      <c r="A65" s="2" t="s">
        <v>268</v>
      </c>
      <c r="B65" s="3" t="s">
        <v>260</v>
      </c>
      <c r="C65" s="4" t="s">
        <v>269</v>
      </c>
      <c r="D65" s="5" t="s">
        <v>270</v>
      </c>
      <c r="E65" s="5" t="s">
        <v>271</v>
      </c>
      <c r="F65" s="6" t="s">
        <v>15</v>
      </c>
      <c r="G65" s="6" t="s">
        <v>16</v>
      </c>
      <c r="H65" s="5"/>
      <c r="I65" s="7"/>
      <c r="J65" s="5"/>
    </row>
    <row r="66" customFormat="false" ht="23.85" hidden="false" customHeight="false" outlineLevel="0" collapsed="false">
      <c r="A66" s="2" t="s">
        <v>272</v>
      </c>
      <c r="B66" s="3" t="s">
        <v>260</v>
      </c>
      <c r="C66" s="4" t="s">
        <v>273</v>
      </c>
      <c r="D66" s="5" t="s">
        <v>274</v>
      </c>
      <c r="E66" s="5" t="s">
        <v>275</v>
      </c>
      <c r="F66" s="6" t="s">
        <v>15</v>
      </c>
      <c r="G66" s="6" t="s">
        <v>16</v>
      </c>
      <c r="H66" s="5"/>
      <c r="I66" s="7"/>
      <c r="J66" s="5"/>
    </row>
    <row r="67" customFormat="false" ht="23.85" hidden="false" customHeight="false" outlineLevel="0" collapsed="false">
      <c r="A67" s="2" t="s">
        <v>276</v>
      </c>
      <c r="B67" s="3" t="s">
        <v>260</v>
      </c>
      <c r="C67" s="4" t="s">
        <v>277</v>
      </c>
      <c r="D67" s="5" t="s">
        <v>278</v>
      </c>
      <c r="E67" s="5" t="s">
        <v>279</v>
      </c>
      <c r="F67" s="6" t="s">
        <v>21</v>
      </c>
      <c r="G67" s="6" t="s">
        <v>16</v>
      </c>
      <c r="H67" s="5"/>
      <c r="I67" s="7"/>
      <c r="J67" s="5"/>
    </row>
    <row r="68" customFormat="false" ht="15" hidden="false" customHeight="false" outlineLevel="0" collapsed="false">
      <c r="A68" s="2" t="s">
        <v>280</v>
      </c>
      <c r="B68" s="3" t="s">
        <v>260</v>
      </c>
      <c r="C68" s="4" t="s">
        <v>281</v>
      </c>
      <c r="D68" s="5" t="s">
        <v>282</v>
      </c>
      <c r="E68" s="5" t="s">
        <v>283</v>
      </c>
      <c r="F68" s="6" t="s">
        <v>21</v>
      </c>
      <c r="G68" s="6" t="s">
        <v>16</v>
      </c>
      <c r="H68" s="5"/>
      <c r="I68" s="7"/>
      <c r="J68" s="5"/>
    </row>
    <row r="69" customFormat="false" ht="23.85" hidden="false" customHeight="false" outlineLevel="0" collapsed="false">
      <c r="A69" s="2" t="s">
        <v>284</v>
      </c>
      <c r="B69" s="3" t="s">
        <v>260</v>
      </c>
      <c r="C69" s="4" t="s">
        <v>285</v>
      </c>
      <c r="D69" s="5" t="s">
        <v>286</v>
      </c>
      <c r="E69" s="5" t="s">
        <v>287</v>
      </c>
      <c r="F69" s="6" t="s">
        <v>15</v>
      </c>
      <c r="G69" s="6" t="s">
        <v>16</v>
      </c>
      <c r="H69" s="5"/>
      <c r="I69" s="7"/>
      <c r="J69" s="5"/>
    </row>
    <row r="70" customFormat="false" ht="15" hidden="false" customHeight="false" outlineLevel="0" collapsed="false">
      <c r="A70" s="2" t="s">
        <v>288</v>
      </c>
      <c r="B70" s="3" t="s">
        <v>260</v>
      </c>
      <c r="C70" s="4" t="s">
        <v>289</v>
      </c>
      <c r="D70" s="5" t="s">
        <v>290</v>
      </c>
      <c r="E70" s="5" t="s">
        <v>291</v>
      </c>
      <c r="F70" s="6" t="s">
        <v>15</v>
      </c>
      <c r="G70" s="6" t="s">
        <v>16</v>
      </c>
      <c r="H70" s="5"/>
      <c r="I70" s="7"/>
      <c r="J70" s="5"/>
    </row>
    <row r="71" customFormat="false" ht="23.85" hidden="false" customHeight="false" outlineLevel="0" collapsed="false">
      <c r="A71" s="8" t="s">
        <v>292</v>
      </c>
      <c r="B71" s="9" t="s">
        <v>293</v>
      </c>
      <c r="C71" s="4" t="s">
        <v>294</v>
      </c>
      <c r="D71" s="5" t="s">
        <v>295</v>
      </c>
      <c r="E71" s="5" t="s">
        <v>296</v>
      </c>
      <c r="F71" s="6" t="s">
        <v>15</v>
      </c>
      <c r="G71" s="6" t="s">
        <v>16</v>
      </c>
      <c r="H71" s="5"/>
      <c r="I71" s="7"/>
      <c r="J71" s="5"/>
    </row>
    <row r="72" customFormat="false" ht="23.85" hidden="false" customHeight="false" outlineLevel="0" collapsed="false">
      <c r="A72" s="8" t="s">
        <v>297</v>
      </c>
      <c r="B72" s="9" t="s">
        <v>293</v>
      </c>
      <c r="C72" s="4" t="s">
        <v>298</v>
      </c>
      <c r="D72" s="5" t="s">
        <v>299</v>
      </c>
      <c r="E72" s="5" t="s">
        <v>300</v>
      </c>
      <c r="F72" s="6" t="s">
        <v>15</v>
      </c>
      <c r="G72" s="6" t="s">
        <v>16</v>
      </c>
      <c r="H72" s="5"/>
      <c r="I72" s="7"/>
      <c r="J72" s="5"/>
    </row>
    <row r="73" customFormat="false" ht="23.85" hidden="false" customHeight="false" outlineLevel="0" collapsed="false">
      <c r="A73" s="8" t="s">
        <v>301</v>
      </c>
      <c r="B73" s="9" t="s">
        <v>293</v>
      </c>
      <c r="C73" s="4" t="s">
        <v>302</v>
      </c>
      <c r="D73" s="5" t="s">
        <v>303</v>
      </c>
      <c r="E73" s="5" t="s">
        <v>304</v>
      </c>
      <c r="F73" s="6" t="s">
        <v>21</v>
      </c>
      <c r="G73" s="6" t="s">
        <v>16</v>
      </c>
      <c r="H73" s="5"/>
      <c r="I73" s="7"/>
      <c r="J73" s="5"/>
    </row>
    <row r="74" customFormat="false" ht="15" hidden="false" customHeight="false" outlineLevel="0" collapsed="false">
      <c r="A74" s="8" t="s">
        <v>305</v>
      </c>
      <c r="B74" s="9" t="s">
        <v>293</v>
      </c>
      <c r="C74" s="4" t="s">
        <v>306</v>
      </c>
      <c r="D74" s="5" t="s">
        <v>307</v>
      </c>
      <c r="E74" s="5" t="s">
        <v>308</v>
      </c>
      <c r="F74" s="6" t="s">
        <v>15</v>
      </c>
      <c r="G74" s="6" t="s">
        <v>16</v>
      </c>
      <c r="H74" s="5"/>
      <c r="I74" s="7"/>
      <c r="J74" s="5"/>
    </row>
    <row r="75" customFormat="false" ht="23.85" hidden="false" customHeight="false" outlineLevel="0" collapsed="false">
      <c r="A75" s="8" t="s">
        <v>309</v>
      </c>
      <c r="B75" s="9" t="s">
        <v>293</v>
      </c>
      <c r="C75" s="4" t="s">
        <v>310</v>
      </c>
      <c r="D75" s="5" t="s">
        <v>311</v>
      </c>
      <c r="E75" s="5" t="s">
        <v>312</v>
      </c>
      <c r="F75" s="6" t="s">
        <v>15</v>
      </c>
      <c r="G75" s="6" t="s">
        <v>16</v>
      </c>
      <c r="H75" s="5"/>
      <c r="I75" s="7"/>
      <c r="J75" s="5"/>
    </row>
    <row r="76" customFormat="false" ht="15" hidden="false" customHeight="false" outlineLevel="0" collapsed="false">
      <c r="A76" s="8" t="s">
        <v>313</v>
      </c>
      <c r="B76" s="9" t="s">
        <v>293</v>
      </c>
      <c r="C76" s="4" t="s">
        <v>314</v>
      </c>
      <c r="D76" s="5" t="s">
        <v>315</v>
      </c>
      <c r="E76" s="5" t="s">
        <v>316</v>
      </c>
      <c r="F76" s="6" t="s">
        <v>15</v>
      </c>
      <c r="G76" s="6" t="s">
        <v>16</v>
      </c>
      <c r="H76" s="5"/>
      <c r="I76" s="7"/>
      <c r="J76" s="5"/>
    </row>
    <row r="77" customFormat="false" ht="15" hidden="false" customHeight="false" outlineLevel="0" collapsed="false">
      <c r="A77" s="8" t="s">
        <v>317</v>
      </c>
      <c r="B77" s="9" t="s">
        <v>293</v>
      </c>
      <c r="C77" s="4" t="s">
        <v>318</v>
      </c>
      <c r="D77" s="5" t="s">
        <v>319</v>
      </c>
      <c r="E77" s="5" t="s">
        <v>320</v>
      </c>
      <c r="F77" s="6" t="s">
        <v>15</v>
      </c>
      <c r="G77" s="6" t="s">
        <v>16</v>
      </c>
      <c r="H77" s="5"/>
      <c r="I77" s="7"/>
      <c r="J77" s="5"/>
    </row>
    <row r="78" customFormat="false" ht="15" hidden="false" customHeight="false" outlineLevel="0" collapsed="false">
      <c r="A78" s="8" t="s">
        <v>321</v>
      </c>
      <c r="B78" s="9" t="s">
        <v>293</v>
      </c>
      <c r="C78" s="4" t="s">
        <v>322</v>
      </c>
      <c r="D78" s="5" t="s">
        <v>323</v>
      </c>
      <c r="E78" s="5" t="s">
        <v>324</v>
      </c>
      <c r="F78" s="6" t="s">
        <v>15</v>
      </c>
      <c r="G78" s="6" t="s">
        <v>16</v>
      </c>
      <c r="H78" s="5"/>
      <c r="I78" s="7"/>
      <c r="J78" s="5"/>
    </row>
    <row r="79" customFormat="false" ht="23.85" hidden="false" customHeight="false" outlineLevel="0" collapsed="false">
      <c r="A79" s="8" t="s">
        <v>325</v>
      </c>
      <c r="B79" s="9" t="s">
        <v>293</v>
      </c>
      <c r="C79" s="4" t="s">
        <v>326</v>
      </c>
      <c r="D79" s="5" t="s">
        <v>327</v>
      </c>
      <c r="E79" s="5" t="s">
        <v>328</v>
      </c>
      <c r="F79" s="6" t="s">
        <v>15</v>
      </c>
      <c r="G79" s="6" t="s">
        <v>16</v>
      </c>
      <c r="H79" s="5"/>
      <c r="I79" s="7"/>
      <c r="J79" s="5"/>
    </row>
    <row r="80" customFormat="false" ht="15" hidden="false" customHeight="false" outlineLevel="0" collapsed="false">
      <c r="A80" s="8" t="s">
        <v>329</v>
      </c>
      <c r="B80" s="9" t="s">
        <v>293</v>
      </c>
      <c r="C80" s="4" t="s">
        <v>330</v>
      </c>
      <c r="D80" s="5" t="s">
        <v>331</v>
      </c>
      <c r="E80" s="5" t="s">
        <v>332</v>
      </c>
      <c r="F80" s="6" t="s">
        <v>21</v>
      </c>
      <c r="G80" s="6" t="s">
        <v>16</v>
      </c>
      <c r="H80" s="5"/>
      <c r="I80" s="7"/>
      <c r="J80" s="5"/>
    </row>
    <row r="81" customFormat="false" ht="23.85" hidden="false" customHeight="false" outlineLevel="0" collapsed="false">
      <c r="A81" s="2" t="s">
        <v>333</v>
      </c>
      <c r="B81" s="3" t="s">
        <v>334</v>
      </c>
      <c r="C81" s="4" t="s">
        <v>335</v>
      </c>
      <c r="D81" s="5" t="s">
        <v>336</v>
      </c>
      <c r="E81" s="5" t="s">
        <v>337</v>
      </c>
      <c r="F81" s="6" t="s">
        <v>15</v>
      </c>
      <c r="G81" s="6" t="s">
        <v>16</v>
      </c>
      <c r="H81" s="5"/>
      <c r="I81" s="7"/>
      <c r="J81" s="5"/>
    </row>
    <row r="82" customFormat="false" ht="15" hidden="false" customHeight="false" outlineLevel="0" collapsed="false">
      <c r="A82" s="2" t="s">
        <v>338</v>
      </c>
      <c r="B82" s="3" t="s">
        <v>334</v>
      </c>
      <c r="C82" s="4" t="s">
        <v>339</v>
      </c>
      <c r="D82" s="5" t="s">
        <v>340</v>
      </c>
      <c r="E82" s="5" t="s">
        <v>341</v>
      </c>
      <c r="F82" s="6" t="s">
        <v>21</v>
      </c>
      <c r="G82" s="6" t="s">
        <v>16</v>
      </c>
      <c r="H82" s="5"/>
      <c r="I82" s="7"/>
      <c r="J82" s="5"/>
    </row>
    <row r="83" customFormat="false" ht="15" hidden="false" customHeight="false" outlineLevel="0" collapsed="false">
      <c r="A83" s="2" t="s">
        <v>342</v>
      </c>
      <c r="B83" s="3" t="s">
        <v>334</v>
      </c>
      <c r="C83" s="4" t="s">
        <v>343</v>
      </c>
      <c r="D83" s="5" t="s">
        <v>344</v>
      </c>
      <c r="E83" s="5" t="s">
        <v>345</v>
      </c>
      <c r="F83" s="6" t="s">
        <v>15</v>
      </c>
      <c r="G83" s="6" t="s">
        <v>16</v>
      </c>
      <c r="H83" s="5"/>
      <c r="I83" s="7"/>
      <c r="J83" s="5"/>
    </row>
    <row r="84" customFormat="false" ht="23.85" hidden="false" customHeight="false" outlineLevel="0" collapsed="false">
      <c r="A84" s="2" t="s">
        <v>346</v>
      </c>
      <c r="B84" s="3" t="s">
        <v>334</v>
      </c>
      <c r="C84" s="4" t="s">
        <v>347</v>
      </c>
      <c r="D84" s="5" t="s">
        <v>348</v>
      </c>
      <c r="E84" s="5" t="s">
        <v>349</v>
      </c>
      <c r="F84" s="6" t="s">
        <v>15</v>
      </c>
      <c r="G84" s="6" t="s">
        <v>16</v>
      </c>
      <c r="H84" s="5"/>
      <c r="I84" s="7"/>
      <c r="J84" s="5"/>
    </row>
    <row r="85" customFormat="false" ht="23.85" hidden="false" customHeight="false" outlineLevel="0" collapsed="false">
      <c r="A85" s="2" t="s">
        <v>350</v>
      </c>
      <c r="B85" s="3" t="s">
        <v>334</v>
      </c>
      <c r="C85" s="4" t="s">
        <v>351</v>
      </c>
      <c r="D85" s="5" t="s">
        <v>352</v>
      </c>
      <c r="E85" s="5" t="s">
        <v>353</v>
      </c>
      <c r="F85" s="6" t="s">
        <v>15</v>
      </c>
      <c r="G85" s="6" t="s">
        <v>16</v>
      </c>
      <c r="H85" s="5"/>
      <c r="I85" s="7"/>
      <c r="J85" s="5"/>
    </row>
    <row r="86" customFormat="false" ht="15" hidden="false" customHeight="false" outlineLevel="0" collapsed="false">
      <c r="A86" s="2" t="s">
        <v>354</v>
      </c>
      <c r="B86" s="3" t="s">
        <v>334</v>
      </c>
      <c r="C86" s="4" t="s">
        <v>355</v>
      </c>
      <c r="D86" s="5" t="s">
        <v>356</v>
      </c>
      <c r="E86" s="5" t="s">
        <v>357</v>
      </c>
      <c r="F86" s="6" t="s">
        <v>15</v>
      </c>
      <c r="G86" s="6" t="s">
        <v>16</v>
      </c>
      <c r="H86" s="5"/>
      <c r="I86" s="7"/>
      <c r="J86" s="5"/>
    </row>
    <row r="87" customFormat="false" ht="15" hidden="false" customHeight="false" outlineLevel="0" collapsed="false">
      <c r="A87" s="2" t="s">
        <v>358</v>
      </c>
      <c r="B87" s="3" t="s">
        <v>334</v>
      </c>
      <c r="C87" s="4" t="s">
        <v>359</v>
      </c>
      <c r="D87" s="5" t="s">
        <v>360</v>
      </c>
      <c r="E87" s="5" t="s">
        <v>361</v>
      </c>
      <c r="F87" s="6" t="s">
        <v>15</v>
      </c>
      <c r="G87" s="6" t="s">
        <v>16</v>
      </c>
      <c r="H87" s="5"/>
      <c r="I87" s="7"/>
      <c r="J87" s="5"/>
    </row>
    <row r="88" customFormat="false" ht="15" hidden="false" customHeight="false" outlineLevel="0" collapsed="false">
      <c r="A88" s="2" t="s">
        <v>362</v>
      </c>
      <c r="B88" s="3" t="s">
        <v>334</v>
      </c>
      <c r="C88" s="4" t="s">
        <v>363</v>
      </c>
      <c r="D88" s="5" t="s">
        <v>364</v>
      </c>
      <c r="E88" s="5" t="s">
        <v>365</v>
      </c>
      <c r="F88" s="6" t="s">
        <v>15</v>
      </c>
      <c r="G88" s="6" t="s">
        <v>16</v>
      </c>
      <c r="H88" s="5"/>
      <c r="I88" s="7"/>
      <c r="J88" s="5"/>
    </row>
    <row r="89" customFormat="false" ht="15" hidden="false" customHeight="false" outlineLevel="0" collapsed="false">
      <c r="A89" s="2" t="s">
        <v>366</v>
      </c>
      <c r="B89" s="3" t="s">
        <v>334</v>
      </c>
      <c r="C89" s="4" t="s">
        <v>367</v>
      </c>
      <c r="D89" s="5" t="s">
        <v>368</v>
      </c>
      <c r="E89" s="5" t="s">
        <v>369</v>
      </c>
      <c r="F89" s="6" t="s">
        <v>15</v>
      </c>
      <c r="G89" s="6" t="s">
        <v>16</v>
      </c>
      <c r="H89" s="5"/>
      <c r="I89" s="7"/>
      <c r="J89" s="5"/>
    </row>
    <row r="90" customFormat="false" ht="15" hidden="false" customHeight="false" outlineLevel="0" collapsed="false">
      <c r="A90" s="2" t="s">
        <v>370</v>
      </c>
      <c r="B90" s="3" t="s">
        <v>334</v>
      </c>
      <c r="C90" s="4" t="s">
        <v>371</v>
      </c>
      <c r="D90" s="5" t="s">
        <v>372</v>
      </c>
      <c r="E90" s="5" t="s">
        <v>373</v>
      </c>
      <c r="F90" s="6" t="s">
        <v>175</v>
      </c>
      <c r="G90" s="6" t="s">
        <v>16</v>
      </c>
      <c r="H90" s="5"/>
      <c r="I90" s="7"/>
      <c r="J90" s="5"/>
    </row>
    <row r="91" customFormat="false" ht="15" hidden="false" customHeight="false" outlineLevel="0" collapsed="false">
      <c r="A91" s="2" t="s">
        <v>374</v>
      </c>
      <c r="B91" s="3" t="s">
        <v>334</v>
      </c>
      <c r="C91" s="4" t="s">
        <v>375</v>
      </c>
      <c r="D91" s="5" t="s">
        <v>376</v>
      </c>
      <c r="E91" s="5" t="s">
        <v>377</v>
      </c>
      <c r="F91" s="6" t="s">
        <v>15</v>
      </c>
      <c r="G91" s="6" t="s">
        <v>16</v>
      </c>
      <c r="H91" s="5"/>
      <c r="I91" s="7"/>
      <c r="J91" s="5"/>
    </row>
    <row r="92" customFormat="false" ht="15" hidden="false" customHeight="false" outlineLevel="0" collapsed="false">
      <c r="A92" s="2" t="s">
        <v>378</v>
      </c>
      <c r="B92" s="3" t="s">
        <v>334</v>
      </c>
      <c r="C92" s="4" t="s">
        <v>379</v>
      </c>
      <c r="D92" s="5" t="s">
        <v>380</v>
      </c>
      <c r="E92" s="5" t="s">
        <v>377</v>
      </c>
      <c r="F92" s="6" t="s">
        <v>15</v>
      </c>
      <c r="G92" s="6" t="s">
        <v>16</v>
      </c>
      <c r="H92" s="5"/>
      <c r="I92" s="7"/>
      <c r="J92" s="5"/>
    </row>
    <row r="93" customFormat="false" ht="15" hidden="false" customHeight="false" outlineLevel="0" collapsed="false">
      <c r="A93" s="2" t="s">
        <v>381</v>
      </c>
      <c r="B93" s="3" t="s">
        <v>334</v>
      </c>
      <c r="C93" s="4" t="s">
        <v>382</v>
      </c>
      <c r="D93" s="5" t="s">
        <v>383</v>
      </c>
      <c r="E93" s="5" t="s">
        <v>384</v>
      </c>
      <c r="F93" s="6" t="s">
        <v>15</v>
      </c>
      <c r="G93" s="6" t="s">
        <v>16</v>
      </c>
      <c r="H93" s="5"/>
      <c r="I93" s="7"/>
      <c r="J93" s="5"/>
    </row>
    <row r="94" customFormat="false" ht="23.85" hidden="false" customHeight="false" outlineLevel="0" collapsed="false">
      <c r="A94" s="2" t="s">
        <v>385</v>
      </c>
      <c r="B94" s="3" t="s">
        <v>334</v>
      </c>
      <c r="C94" s="4" t="s">
        <v>386</v>
      </c>
      <c r="D94" s="5" t="s">
        <v>387</v>
      </c>
      <c r="E94" s="5" t="s">
        <v>388</v>
      </c>
      <c r="F94" s="6" t="s">
        <v>21</v>
      </c>
      <c r="G94" s="6" t="s">
        <v>16</v>
      </c>
      <c r="H94" s="5"/>
      <c r="I94" s="7"/>
      <c r="J94" s="5"/>
    </row>
    <row r="95" customFormat="false" ht="15" hidden="false" customHeight="false" outlineLevel="0" collapsed="false">
      <c r="A95" s="2" t="s">
        <v>389</v>
      </c>
      <c r="B95" s="3" t="s">
        <v>334</v>
      </c>
      <c r="C95" s="4" t="s">
        <v>390</v>
      </c>
      <c r="D95" s="5" t="s">
        <v>391</v>
      </c>
      <c r="E95" s="5" t="s">
        <v>291</v>
      </c>
      <c r="F95" s="6" t="s">
        <v>15</v>
      </c>
      <c r="G95" s="6" t="s">
        <v>16</v>
      </c>
      <c r="H95" s="5"/>
      <c r="I95" s="7"/>
      <c r="J95" s="5"/>
    </row>
    <row r="96" customFormat="false" ht="23.85" hidden="false" customHeight="false" outlineLevel="0" collapsed="false">
      <c r="A96" s="8" t="s">
        <v>392</v>
      </c>
      <c r="B96" s="9" t="s">
        <v>393</v>
      </c>
      <c r="C96" s="4" t="s">
        <v>394</v>
      </c>
      <c r="D96" s="5" t="s">
        <v>395</v>
      </c>
      <c r="E96" s="5" t="s">
        <v>396</v>
      </c>
      <c r="F96" s="6" t="s">
        <v>15</v>
      </c>
      <c r="G96" s="6" t="s">
        <v>16</v>
      </c>
      <c r="H96" s="5"/>
      <c r="I96" s="7"/>
      <c r="J96" s="5"/>
    </row>
    <row r="97" customFormat="false" ht="15" hidden="false" customHeight="false" outlineLevel="0" collapsed="false">
      <c r="A97" s="8" t="s">
        <v>397</v>
      </c>
      <c r="B97" s="9" t="s">
        <v>393</v>
      </c>
      <c r="C97" s="4" t="s">
        <v>398</v>
      </c>
      <c r="D97" s="5" t="s">
        <v>399</v>
      </c>
      <c r="E97" s="5" t="s">
        <v>400</v>
      </c>
      <c r="F97" s="6" t="s">
        <v>21</v>
      </c>
      <c r="G97" s="6" t="s">
        <v>16</v>
      </c>
      <c r="H97" s="5"/>
      <c r="I97" s="7"/>
      <c r="J97" s="5"/>
    </row>
    <row r="98" customFormat="false" ht="15" hidden="false" customHeight="false" outlineLevel="0" collapsed="false">
      <c r="A98" s="8" t="s">
        <v>401</v>
      </c>
      <c r="B98" s="9" t="s">
        <v>393</v>
      </c>
      <c r="C98" s="4" t="s">
        <v>402</v>
      </c>
      <c r="D98" s="5" t="s">
        <v>403</v>
      </c>
      <c r="E98" s="5" t="s">
        <v>404</v>
      </c>
      <c r="F98" s="6" t="s">
        <v>15</v>
      </c>
      <c r="G98" s="6" t="s">
        <v>16</v>
      </c>
      <c r="H98" s="5"/>
      <c r="I98" s="7"/>
      <c r="J98" s="5"/>
    </row>
    <row r="99" customFormat="false" ht="15" hidden="false" customHeight="false" outlineLevel="0" collapsed="false">
      <c r="A99" s="8" t="s">
        <v>405</v>
      </c>
      <c r="B99" s="9" t="s">
        <v>393</v>
      </c>
      <c r="C99" s="4" t="s">
        <v>406</v>
      </c>
      <c r="D99" s="5" t="s">
        <v>407</v>
      </c>
      <c r="E99" s="5" t="s">
        <v>408</v>
      </c>
      <c r="F99" s="6" t="s">
        <v>15</v>
      </c>
      <c r="G99" s="6" t="s">
        <v>16</v>
      </c>
      <c r="H99" s="5"/>
      <c r="I99" s="7"/>
      <c r="J99" s="5"/>
    </row>
    <row r="100" customFormat="false" ht="15" hidden="false" customHeight="false" outlineLevel="0" collapsed="false">
      <c r="A100" s="8" t="s">
        <v>409</v>
      </c>
      <c r="B100" s="9" t="s">
        <v>393</v>
      </c>
      <c r="C100" s="4" t="s">
        <v>410</v>
      </c>
      <c r="D100" s="5" t="s">
        <v>411</v>
      </c>
      <c r="E100" s="5" t="s">
        <v>412</v>
      </c>
      <c r="F100" s="6" t="s">
        <v>15</v>
      </c>
      <c r="G100" s="6" t="s">
        <v>16</v>
      </c>
      <c r="H100" s="5"/>
      <c r="I100" s="7"/>
      <c r="J100" s="5"/>
    </row>
    <row r="101" customFormat="false" ht="15" hidden="false" customHeight="false" outlineLevel="0" collapsed="false">
      <c r="A101" s="8" t="s">
        <v>413</v>
      </c>
      <c r="B101" s="9" t="s">
        <v>393</v>
      </c>
      <c r="C101" s="4" t="s">
        <v>414</v>
      </c>
      <c r="D101" s="5" t="s">
        <v>415</v>
      </c>
      <c r="E101" s="5" t="s">
        <v>416</v>
      </c>
      <c r="F101" s="6" t="s">
        <v>15</v>
      </c>
      <c r="G101" s="6" t="s">
        <v>16</v>
      </c>
      <c r="H101" s="5"/>
      <c r="I101" s="7"/>
      <c r="J101" s="5"/>
    </row>
    <row r="102" customFormat="false" ht="15" hidden="false" customHeight="false" outlineLevel="0" collapsed="false">
      <c r="A102" s="8" t="s">
        <v>417</v>
      </c>
      <c r="B102" s="9" t="s">
        <v>393</v>
      </c>
      <c r="C102" s="4" t="s">
        <v>418</v>
      </c>
      <c r="D102" s="5" t="s">
        <v>419</v>
      </c>
      <c r="E102" s="5" t="s">
        <v>420</v>
      </c>
      <c r="F102" s="6" t="s">
        <v>15</v>
      </c>
      <c r="G102" s="6" t="s">
        <v>16</v>
      </c>
      <c r="H102" s="5"/>
      <c r="I102" s="7"/>
      <c r="J102" s="5"/>
    </row>
    <row r="103" customFormat="false" ht="15" hidden="false" customHeight="false" outlineLevel="0" collapsed="false">
      <c r="A103" s="8" t="s">
        <v>421</v>
      </c>
      <c r="B103" s="9" t="s">
        <v>393</v>
      </c>
      <c r="C103" s="4" t="s">
        <v>422</v>
      </c>
      <c r="D103" s="5" t="s">
        <v>423</v>
      </c>
      <c r="E103" s="5" t="s">
        <v>424</v>
      </c>
      <c r="F103" s="6" t="s">
        <v>21</v>
      </c>
      <c r="G103" s="6" t="s">
        <v>16</v>
      </c>
      <c r="H103" s="5"/>
      <c r="I103" s="7"/>
      <c r="J103" s="5"/>
    </row>
    <row r="104" customFormat="false" ht="15" hidden="false" customHeight="false" outlineLevel="0" collapsed="false">
      <c r="A104" s="8" t="s">
        <v>425</v>
      </c>
      <c r="B104" s="9" t="s">
        <v>393</v>
      </c>
      <c r="C104" s="4" t="s">
        <v>426</v>
      </c>
      <c r="D104" s="5" t="s">
        <v>427</v>
      </c>
      <c r="E104" s="5" t="s">
        <v>428</v>
      </c>
      <c r="F104" s="6" t="s">
        <v>21</v>
      </c>
      <c r="G104" s="6" t="s">
        <v>16</v>
      </c>
      <c r="H104" s="5"/>
      <c r="I104" s="7"/>
      <c r="J104" s="5"/>
    </row>
    <row r="105" customFormat="false" ht="15" hidden="false" customHeight="false" outlineLevel="0" collapsed="false">
      <c r="A105" s="8" t="s">
        <v>429</v>
      </c>
      <c r="B105" s="9" t="s">
        <v>393</v>
      </c>
      <c r="C105" s="4" t="s">
        <v>430</v>
      </c>
      <c r="D105" s="5" t="s">
        <v>431</v>
      </c>
      <c r="E105" s="5" t="s">
        <v>432</v>
      </c>
      <c r="F105" s="6" t="s">
        <v>21</v>
      </c>
      <c r="G105" s="6" t="s">
        <v>16</v>
      </c>
      <c r="H105" s="5"/>
      <c r="I105" s="7"/>
      <c r="J105" s="5"/>
    </row>
    <row r="106" customFormat="false" ht="23.85" hidden="false" customHeight="false" outlineLevel="0" collapsed="false">
      <c r="A106" s="2" t="s">
        <v>433</v>
      </c>
      <c r="B106" s="3" t="s">
        <v>434</v>
      </c>
      <c r="C106" s="4" t="s">
        <v>435</v>
      </c>
      <c r="D106" s="5" t="s">
        <v>436</v>
      </c>
      <c r="E106" s="5" t="s">
        <v>437</v>
      </c>
      <c r="F106" s="6" t="s">
        <v>15</v>
      </c>
      <c r="G106" s="6" t="s">
        <v>16</v>
      </c>
      <c r="H106" s="5"/>
      <c r="I106" s="7"/>
      <c r="J106" s="5"/>
    </row>
    <row r="107" customFormat="false" ht="23.85" hidden="false" customHeight="false" outlineLevel="0" collapsed="false">
      <c r="A107" s="2" t="s">
        <v>438</v>
      </c>
      <c r="B107" s="3" t="s">
        <v>434</v>
      </c>
      <c r="C107" s="4" t="s">
        <v>439</v>
      </c>
      <c r="D107" s="5" t="s">
        <v>440</v>
      </c>
      <c r="E107" s="5" t="s">
        <v>437</v>
      </c>
      <c r="F107" s="6" t="s">
        <v>15</v>
      </c>
      <c r="G107" s="6" t="s">
        <v>16</v>
      </c>
      <c r="H107" s="5"/>
      <c r="I107" s="7"/>
      <c r="J107" s="5"/>
    </row>
    <row r="108" customFormat="false" ht="23.85" hidden="false" customHeight="false" outlineLevel="0" collapsed="false">
      <c r="A108" s="2" t="s">
        <v>441</v>
      </c>
      <c r="B108" s="3" t="s">
        <v>434</v>
      </c>
      <c r="C108" s="4" t="s">
        <v>442</v>
      </c>
      <c r="D108" s="5" t="s">
        <v>443</v>
      </c>
      <c r="E108" s="5" t="s">
        <v>437</v>
      </c>
      <c r="F108" s="6" t="s">
        <v>15</v>
      </c>
      <c r="G108" s="6" t="s">
        <v>16</v>
      </c>
      <c r="H108" s="5"/>
      <c r="I108" s="7"/>
      <c r="J108" s="5"/>
    </row>
    <row r="109" customFormat="false" ht="15" hidden="false" customHeight="false" outlineLevel="0" collapsed="false">
      <c r="A109" s="2" t="s">
        <v>444</v>
      </c>
      <c r="B109" s="3" t="s">
        <v>434</v>
      </c>
      <c r="C109" s="4" t="s">
        <v>445</v>
      </c>
      <c r="D109" s="5" t="s">
        <v>446</v>
      </c>
      <c r="E109" s="5" t="s">
        <v>437</v>
      </c>
      <c r="F109" s="6" t="s">
        <v>15</v>
      </c>
      <c r="G109" s="6" t="s">
        <v>16</v>
      </c>
      <c r="H109" s="5"/>
      <c r="I109" s="7"/>
      <c r="J109" s="5"/>
    </row>
    <row r="110" customFormat="false" ht="23.85" hidden="false" customHeight="false" outlineLevel="0" collapsed="false">
      <c r="A110" s="2" t="s">
        <v>447</v>
      </c>
      <c r="B110" s="3" t="s">
        <v>434</v>
      </c>
      <c r="C110" s="4" t="s">
        <v>448</v>
      </c>
      <c r="D110" s="5" t="s">
        <v>449</v>
      </c>
      <c r="E110" s="5" t="s">
        <v>450</v>
      </c>
      <c r="F110" s="6" t="s">
        <v>15</v>
      </c>
      <c r="G110" s="6" t="s">
        <v>16</v>
      </c>
      <c r="H110" s="5"/>
      <c r="I110" s="7"/>
      <c r="J110" s="5"/>
    </row>
    <row r="111" customFormat="false" ht="15" hidden="false" customHeight="false" outlineLevel="0" collapsed="false">
      <c r="A111" s="2" t="s">
        <v>451</v>
      </c>
      <c r="B111" s="3" t="s">
        <v>434</v>
      </c>
      <c r="C111" s="4" t="s">
        <v>452</v>
      </c>
      <c r="D111" s="5" t="s">
        <v>453</v>
      </c>
      <c r="E111" s="5" t="s">
        <v>57</v>
      </c>
      <c r="F111" s="6" t="s">
        <v>21</v>
      </c>
      <c r="G111" s="6" t="s">
        <v>16</v>
      </c>
      <c r="H111" s="5"/>
      <c r="I111" s="7"/>
      <c r="J111" s="5"/>
    </row>
    <row r="112" customFormat="false" ht="15" hidden="false" customHeight="false" outlineLevel="0" collapsed="false">
      <c r="A112" s="2" t="s">
        <v>454</v>
      </c>
      <c r="B112" s="3" t="s">
        <v>434</v>
      </c>
      <c r="C112" s="4" t="s">
        <v>455</v>
      </c>
      <c r="D112" s="5" t="s">
        <v>456</v>
      </c>
      <c r="E112" s="5" t="s">
        <v>457</v>
      </c>
      <c r="F112" s="6" t="s">
        <v>15</v>
      </c>
      <c r="G112" s="6" t="s">
        <v>16</v>
      </c>
      <c r="H112" s="5"/>
      <c r="I112" s="7"/>
      <c r="J112" s="5"/>
    </row>
    <row r="113" customFormat="false" ht="15" hidden="false" customHeight="false" outlineLevel="0" collapsed="false">
      <c r="A113" s="8" t="s">
        <v>458</v>
      </c>
      <c r="B113" s="9" t="s">
        <v>459</v>
      </c>
      <c r="C113" s="4" t="s">
        <v>460</v>
      </c>
      <c r="D113" s="5" t="s">
        <v>461</v>
      </c>
      <c r="E113" s="5" t="s">
        <v>89</v>
      </c>
      <c r="F113" s="6" t="s">
        <v>21</v>
      </c>
      <c r="G113" s="6" t="s">
        <v>16</v>
      </c>
      <c r="H113" s="5"/>
      <c r="I113" s="7"/>
      <c r="J113" s="5"/>
    </row>
    <row r="114" customFormat="false" ht="15" hidden="false" customHeight="false" outlineLevel="0" collapsed="false">
      <c r="A114" s="8" t="s">
        <v>462</v>
      </c>
      <c r="B114" s="9" t="s">
        <v>459</v>
      </c>
      <c r="C114" s="4" t="s">
        <v>463</v>
      </c>
      <c r="D114" s="5" t="s">
        <v>464</v>
      </c>
      <c r="E114" s="5" t="s">
        <v>465</v>
      </c>
      <c r="F114" s="6" t="s">
        <v>21</v>
      </c>
      <c r="G114" s="6" t="s">
        <v>16</v>
      </c>
      <c r="H114" s="5"/>
      <c r="I114" s="7"/>
      <c r="J114" s="5"/>
    </row>
    <row r="115" customFormat="false" ht="15" hidden="false" customHeight="false" outlineLevel="0" collapsed="false">
      <c r="A115" s="8" t="s">
        <v>466</v>
      </c>
      <c r="B115" s="9" t="s">
        <v>459</v>
      </c>
      <c r="C115" s="4" t="s">
        <v>467</v>
      </c>
      <c r="D115" s="5" t="s">
        <v>468</v>
      </c>
      <c r="E115" s="5" t="s">
        <v>469</v>
      </c>
      <c r="F115" s="6" t="s">
        <v>15</v>
      </c>
      <c r="G115" s="6" t="s">
        <v>16</v>
      </c>
      <c r="H115" s="5"/>
      <c r="I115" s="7"/>
      <c r="J115" s="5"/>
    </row>
    <row r="116" customFormat="false" ht="15" hidden="false" customHeight="false" outlineLevel="0" collapsed="false">
      <c r="A116" s="8" t="s">
        <v>470</v>
      </c>
      <c r="B116" s="9" t="s">
        <v>459</v>
      </c>
      <c r="C116" s="4" t="s">
        <v>471</v>
      </c>
      <c r="D116" s="5" t="s">
        <v>472</v>
      </c>
      <c r="E116" s="5" t="s">
        <v>473</v>
      </c>
      <c r="F116" s="6" t="s">
        <v>15</v>
      </c>
      <c r="G116" s="6" t="s">
        <v>16</v>
      </c>
      <c r="H116" s="5"/>
      <c r="I116" s="7"/>
      <c r="J116" s="5"/>
    </row>
    <row r="117" customFormat="false" ht="15" hidden="false" customHeight="false" outlineLevel="0" collapsed="false">
      <c r="A117" s="8" t="s">
        <v>474</v>
      </c>
      <c r="B117" s="9" t="s">
        <v>459</v>
      </c>
      <c r="C117" s="4" t="s">
        <v>475</v>
      </c>
      <c r="D117" s="5" t="s">
        <v>476</v>
      </c>
      <c r="E117" s="5" t="s">
        <v>477</v>
      </c>
      <c r="F117" s="6" t="s">
        <v>21</v>
      </c>
      <c r="G117" s="6" t="s">
        <v>16</v>
      </c>
      <c r="H117" s="5"/>
      <c r="I117" s="7"/>
      <c r="J117" s="5"/>
    </row>
    <row r="118" customFormat="false" ht="15" hidden="false" customHeight="false" outlineLevel="0" collapsed="false">
      <c r="A118" s="8" t="s">
        <v>478</v>
      </c>
      <c r="B118" s="9" t="s">
        <v>459</v>
      </c>
      <c r="C118" s="4" t="s">
        <v>479</v>
      </c>
      <c r="D118" s="5" t="s">
        <v>480</v>
      </c>
      <c r="E118" s="5" t="s">
        <v>481</v>
      </c>
      <c r="F118" s="6" t="s">
        <v>15</v>
      </c>
      <c r="G118" s="6" t="s">
        <v>16</v>
      </c>
      <c r="H118" s="5"/>
      <c r="I118" s="7"/>
      <c r="J118" s="5"/>
    </row>
    <row r="119" customFormat="false" ht="15" hidden="false" customHeight="false" outlineLevel="0" collapsed="false">
      <c r="A119" s="8" t="s">
        <v>482</v>
      </c>
      <c r="B119" s="9" t="s">
        <v>459</v>
      </c>
      <c r="C119" s="4" t="s">
        <v>483</v>
      </c>
      <c r="D119" s="5" t="s">
        <v>484</v>
      </c>
      <c r="E119" s="5" t="s">
        <v>485</v>
      </c>
      <c r="F119" s="6" t="s">
        <v>15</v>
      </c>
      <c r="G119" s="6" t="s">
        <v>16</v>
      </c>
      <c r="H119" s="5"/>
      <c r="I119" s="7"/>
      <c r="J119" s="5"/>
    </row>
    <row r="120" customFormat="false" ht="23.85" hidden="false" customHeight="false" outlineLevel="0" collapsed="false">
      <c r="A120" s="8" t="s">
        <v>486</v>
      </c>
      <c r="B120" s="9" t="s">
        <v>459</v>
      </c>
      <c r="C120" s="4" t="s">
        <v>487</v>
      </c>
      <c r="D120" s="5" t="s">
        <v>488</v>
      </c>
      <c r="E120" s="5" t="s">
        <v>489</v>
      </c>
      <c r="F120" s="6" t="s">
        <v>15</v>
      </c>
      <c r="G120" s="6" t="s">
        <v>16</v>
      </c>
      <c r="H120" s="5"/>
      <c r="I120" s="7"/>
      <c r="J120" s="5"/>
    </row>
    <row r="121" customFormat="false" ht="15" hidden="false" customHeight="false" outlineLevel="0" collapsed="false">
      <c r="A121" s="8" t="s">
        <v>490</v>
      </c>
      <c r="B121" s="9" t="s">
        <v>459</v>
      </c>
      <c r="C121" s="4" t="s">
        <v>491</v>
      </c>
      <c r="D121" s="5" t="s">
        <v>492</v>
      </c>
      <c r="E121" s="5" t="s">
        <v>493</v>
      </c>
      <c r="F121" s="6" t="s">
        <v>21</v>
      </c>
      <c r="G121" s="6" t="s">
        <v>16</v>
      </c>
      <c r="H121" s="5"/>
      <c r="I121" s="7"/>
      <c r="J121" s="5"/>
    </row>
    <row r="122" customFormat="false" ht="23.85" hidden="false" customHeight="false" outlineLevel="0" collapsed="false">
      <c r="A122" s="8" t="s">
        <v>494</v>
      </c>
      <c r="B122" s="9" t="s">
        <v>459</v>
      </c>
      <c r="C122" s="4" t="s">
        <v>495</v>
      </c>
      <c r="D122" s="5" t="s">
        <v>496</v>
      </c>
      <c r="E122" s="5" t="s">
        <v>497</v>
      </c>
      <c r="F122" s="6" t="s">
        <v>15</v>
      </c>
      <c r="G122" s="6" t="s">
        <v>16</v>
      </c>
      <c r="H122" s="5"/>
      <c r="I122" s="7"/>
      <c r="J122" s="5"/>
    </row>
    <row r="123" customFormat="false" ht="23.85" hidden="false" customHeight="false" outlineLevel="0" collapsed="false">
      <c r="A123" s="8" t="s">
        <v>498</v>
      </c>
      <c r="B123" s="9" t="s">
        <v>459</v>
      </c>
      <c r="C123" s="4" t="s">
        <v>499</v>
      </c>
      <c r="D123" s="5" t="s">
        <v>500</v>
      </c>
      <c r="E123" s="5" t="s">
        <v>501</v>
      </c>
      <c r="F123" s="6" t="s">
        <v>21</v>
      </c>
      <c r="G123" s="6" t="s">
        <v>16</v>
      </c>
      <c r="H123" s="5"/>
      <c r="I123" s="7"/>
      <c r="J123" s="5"/>
    </row>
    <row r="124" customFormat="false" ht="15" hidden="false" customHeight="false" outlineLevel="0" collapsed="false">
      <c r="A124" s="8" t="s">
        <v>502</v>
      </c>
      <c r="B124" s="9" t="s">
        <v>459</v>
      </c>
      <c r="C124" s="4" t="s">
        <v>503</v>
      </c>
      <c r="D124" s="5" t="s">
        <v>504</v>
      </c>
      <c r="E124" s="5" t="s">
        <v>505</v>
      </c>
      <c r="F124" s="6" t="s">
        <v>15</v>
      </c>
      <c r="G124" s="6" t="s">
        <v>16</v>
      </c>
      <c r="H124" s="5"/>
      <c r="I124" s="7"/>
      <c r="J124" s="5"/>
    </row>
    <row r="125" customFormat="false" ht="15" hidden="false" customHeight="false" outlineLevel="0" collapsed="false">
      <c r="A125" s="8" t="s">
        <v>506</v>
      </c>
      <c r="B125" s="9" t="s">
        <v>459</v>
      </c>
      <c r="C125" s="4" t="s">
        <v>507</v>
      </c>
      <c r="D125" s="5" t="s">
        <v>508</v>
      </c>
      <c r="E125" s="5" t="s">
        <v>509</v>
      </c>
      <c r="F125" s="6" t="s">
        <v>15</v>
      </c>
      <c r="G125" s="6" t="s">
        <v>16</v>
      </c>
      <c r="H125" s="5"/>
      <c r="I125" s="7"/>
      <c r="J125" s="5"/>
    </row>
    <row r="126" customFormat="false" ht="23.85" hidden="false" customHeight="false" outlineLevel="0" collapsed="false">
      <c r="A126" s="8" t="s">
        <v>510</v>
      </c>
      <c r="B126" s="9" t="s">
        <v>459</v>
      </c>
      <c r="C126" s="4" t="s">
        <v>511</v>
      </c>
      <c r="D126" s="5" t="s">
        <v>512</v>
      </c>
      <c r="E126" s="5" t="s">
        <v>513</v>
      </c>
      <c r="F126" s="6" t="s">
        <v>21</v>
      </c>
      <c r="G126" s="6" t="s">
        <v>16</v>
      </c>
      <c r="H126" s="5"/>
      <c r="I126" s="7"/>
      <c r="J126" s="5"/>
    </row>
  </sheetData>
  <autoFilter ref="A1:J126"/>
  <conditionalFormatting sqref="G2:G500">
    <cfRule type="cellIs" priority="2" operator="equal" aboveAverage="0" equalAverage="0" bottom="0" percent="0" rank="0" text="" dxfId="4">
      <formula>"Done"</formula>
    </cfRule>
    <cfRule type="cellIs" priority="3" operator="equal" aboveAverage="0" equalAverage="0" bottom="0" percent="0" rank="0" text="" dxfId="5">
      <formula>"In Progress"</formula>
    </cfRule>
    <cfRule type="cellIs" priority="4" operator="equal" aboveAverage="0" equalAverage="0" bottom="0" percent="0" rank="0" text="" dxfId="6">
      <formula>"In Review"</formula>
    </cfRule>
    <cfRule type="cellIs" priority="5" operator="equal" aboveAverage="0" equalAverage="0" bottom="0" percent="0" rank="0" text="" dxfId="7">
      <formula>"Blocked"</formula>
    </cfRule>
  </conditionalFormatting>
  <conditionalFormatting sqref="H2:H500">
    <cfRule type="expression" priority="6" aboveAverage="0" equalAverage="0" bottom="0" percent="0" rank="0" text="" dxfId="8">
      <formula>AND($G2="Done",$H2="")</formula>
    </cfRule>
  </conditionalFormatting>
  <dataValidations count="3">
    <dataValidation allowBlank="false" error="Choose a status from the list." errorStyle="stop" errorTitle="Status" operator="between" showDropDown="false" showErrorMessage="true" showInputMessage="false" sqref="G2:G500" type="list">
      <formula1>"Not Started,In Progress,In Review,Done,Blocked"</formula1>
      <formula2>0</formula2>
    </dataValidation>
    <dataValidation allowBlank="false" error="Must, Should or Could." errorStyle="stop" errorTitle="Priority" operator="between" showDropDown="false" showErrorMessage="true" showInputMessage="false" sqref="F2:F500" type="list">
      <formula1>"Must,Should,Could"</formula1>
      <formula2>0</formula2>
    </dataValidation>
    <dataValidation allowBlank="true" error="Enter a valid date, e.g. 2026-09-25." errorStyle="stop" errorTitle="Date" operator="greaterThan" showDropDown="false" showErrorMessage="true" showInputMessage="false" sqref="I2:I500" type="date">
      <formula1>36526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s>
  <sheetData>
    <row r="1" customFormat="false" ht="18.55" hidden="false" customHeight="false" outlineLevel="0" collapsed="false">
      <c r="A1" s="10" t="s">
        <v>514</v>
      </c>
    </row>
    <row r="2" customFormat="false" ht="15" hidden="false" customHeight="false" outlineLevel="0" collapsed="false">
      <c r="A2" s="11" t="s">
        <v>515</v>
      </c>
    </row>
    <row r="4" customFormat="false" ht="15" hidden="false" customHeight="false" outlineLevel="0" collapsed="false">
      <c r="A4" s="12" t="s">
        <v>516</v>
      </c>
      <c r="B4" s="13" t="s">
        <v>517</v>
      </c>
    </row>
    <row r="5" customFormat="false" ht="15" hidden="false" customHeight="false" outlineLevel="0" collapsed="false">
      <c r="A5" s="14" t="s">
        <v>518</v>
      </c>
      <c r="B5" s="15" t="n">
        <f aca="false">COUNTA('Frontend Tasks'!$A$2:$A$500)</f>
        <v>125</v>
      </c>
    </row>
    <row r="6" customFormat="false" ht="15" hidden="false" customHeight="false" outlineLevel="0" collapsed="false">
      <c r="A6" s="16" t="s">
        <v>519</v>
      </c>
      <c r="B6" s="15" t="n">
        <f aca="false">COUNTIF('Frontend Tasks'!$G$2:$G$500,"Done")</f>
        <v>0</v>
      </c>
    </row>
    <row r="7" customFormat="false" ht="15" hidden="false" customHeight="false" outlineLevel="0" collapsed="false">
      <c r="A7" s="16" t="s">
        <v>520</v>
      </c>
      <c r="B7" s="15" t="n">
        <f aca="false">COUNTIF('Frontend Tasks'!$G$2:$G$500,"In Review")</f>
        <v>0</v>
      </c>
    </row>
    <row r="8" customFormat="false" ht="15" hidden="false" customHeight="false" outlineLevel="0" collapsed="false">
      <c r="A8" s="16" t="s">
        <v>521</v>
      </c>
      <c r="B8" s="15" t="n">
        <f aca="false">COUNTIF('Frontend Tasks'!$G$2:$G$500,"In Progress")</f>
        <v>0</v>
      </c>
    </row>
    <row r="9" customFormat="false" ht="15" hidden="false" customHeight="false" outlineLevel="0" collapsed="false">
      <c r="A9" s="16" t="s">
        <v>522</v>
      </c>
      <c r="B9" s="15" t="n">
        <f aca="false">COUNTIF('Frontend Tasks'!$G$2:$G$500,"Blocked")</f>
        <v>0</v>
      </c>
    </row>
    <row r="10" customFormat="false" ht="15" hidden="false" customHeight="false" outlineLevel="0" collapsed="false">
      <c r="A10" s="16" t="s">
        <v>16</v>
      </c>
      <c r="B10" s="15" t="n">
        <f aca="false">COUNTIF('Frontend Tasks'!$G$2:$G$500,"Not Started")</f>
        <v>125</v>
      </c>
    </row>
    <row r="11" customFormat="false" ht="15" hidden="false" customHeight="false" outlineLevel="0" collapsed="false">
      <c r="A11" s="14" t="s">
        <v>523</v>
      </c>
      <c r="B11" s="17" t="n">
        <f aca="false">IF(B5=0,0,B6/B5)</f>
        <v>0</v>
      </c>
    </row>
    <row r="13" customFormat="false" ht="15" hidden="false" customHeight="false" outlineLevel="0" collapsed="false">
      <c r="A13" s="12" t="s">
        <v>1</v>
      </c>
      <c r="B13" s="13" t="s">
        <v>524</v>
      </c>
      <c r="C13" s="13" t="s">
        <v>519</v>
      </c>
      <c r="D13" s="13" t="s">
        <v>521</v>
      </c>
      <c r="E13" s="13" t="s">
        <v>525</v>
      </c>
    </row>
    <row r="14" customFormat="false" ht="15" hidden="false" customHeight="false" outlineLevel="0" collapsed="false">
      <c r="A14" s="16" t="s">
        <v>11</v>
      </c>
      <c r="B14" s="15" t="n">
        <f aca="false">COUNTIF('Frontend Tasks'!$B$2:$B$500,A14)</f>
        <v>21</v>
      </c>
      <c r="C14" s="15" t="n">
        <f aca="false">COUNTIFS('Frontend Tasks'!$B$2:$B$500,A14,'Frontend Tasks'!$G$2:$G$500,"Done")</f>
        <v>0</v>
      </c>
      <c r="D14" s="15" t="n">
        <f aca="false">COUNTIFS('Frontend Tasks'!$B$2:$B$500,A14,'Frontend Tasks'!$G$2:$G$500,"In Progress")</f>
        <v>0</v>
      </c>
      <c r="E14" s="18" t="n">
        <f aca="false">IF(B14=0,0,C14/B14)</f>
        <v>0</v>
      </c>
    </row>
    <row r="15" customFormat="false" ht="15" hidden="false" customHeight="false" outlineLevel="0" collapsed="false">
      <c r="A15" s="16" t="s">
        <v>99</v>
      </c>
      <c r="B15" s="15" t="n">
        <f aca="false">COUNTIF('Frontend Tasks'!$B$2:$B$500,A15)</f>
        <v>19</v>
      </c>
      <c r="C15" s="15" t="n">
        <f aca="false">COUNTIFS('Frontend Tasks'!$B$2:$B$500,A15,'Frontend Tasks'!$G$2:$G$500,"Done")</f>
        <v>0</v>
      </c>
      <c r="D15" s="15" t="n">
        <f aca="false">COUNTIFS('Frontend Tasks'!$B$2:$B$500,A15,'Frontend Tasks'!$G$2:$G$500,"In Progress")</f>
        <v>0</v>
      </c>
      <c r="E15" s="18" t="n">
        <f aca="false">IF(B15=0,0,C15/B15)</f>
        <v>0</v>
      </c>
    </row>
    <row r="16" customFormat="false" ht="15" hidden="false" customHeight="false" outlineLevel="0" collapsed="false">
      <c r="A16" s="16" t="s">
        <v>177</v>
      </c>
      <c r="B16" s="15" t="n">
        <f aca="false">COUNTIF('Frontend Tasks'!$B$2:$B$500,A16)</f>
        <v>13</v>
      </c>
      <c r="C16" s="15" t="n">
        <f aca="false">COUNTIFS('Frontend Tasks'!$B$2:$B$500,A16,'Frontend Tasks'!$G$2:$G$500,"Done")</f>
        <v>0</v>
      </c>
      <c r="D16" s="15" t="n">
        <f aca="false">COUNTIFS('Frontend Tasks'!$B$2:$B$500,A16,'Frontend Tasks'!$G$2:$G$500,"In Progress")</f>
        <v>0</v>
      </c>
      <c r="E16" s="18" t="n">
        <f aca="false">IF(B16=0,0,C16/B16)</f>
        <v>0</v>
      </c>
    </row>
    <row r="17" customFormat="false" ht="15" hidden="false" customHeight="false" outlineLevel="0" collapsed="false">
      <c r="A17" s="16" t="s">
        <v>227</v>
      </c>
      <c r="B17" s="15" t="n">
        <f aca="false">COUNTIF('Frontend Tasks'!$B$2:$B$500,A17)</f>
        <v>8</v>
      </c>
      <c r="C17" s="15" t="n">
        <f aca="false">COUNTIFS('Frontend Tasks'!$B$2:$B$500,A17,'Frontend Tasks'!$G$2:$G$500,"Done")</f>
        <v>0</v>
      </c>
      <c r="D17" s="15" t="n">
        <f aca="false">COUNTIFS('Frontend Tasks'!$B$2:$B$500,A17,'Frontend Tasks'!$G$2:$G$500,"In Progress")</f>
        <v>0</v>
      </c>
      <c r="E17" s="18" t="n">
        <f aca="false">IF(B17=0,0,C17/B17)</f>
        <v>0</v>
      </c>
    </row>
    <row r="18" customFormat="false" ht="15" hidden="false" customHeight="false" outlineLevel="0" collapsed="false">
      <c r="A18" s="16" t="s">
        <v>260</v>
      </c>
      <c r="B18" s="15" t="n">
        <f aca="false">COUNTIF('Frontend Tasks'!$B$2:$B$500,A18)</f>
        <v>8</v>
      </c>
      <c r="C18" s="15" t="n">
        <f aca="false">COUNTIFS('Frontend Tasks'!$B$2:$B$500,A18,'Frontend Tasks'!$G$2:$G$500,"Done")</f>
        <v>0</v>
      </c>
      <c r="D18" s="15" t="n">
        <f aca="false">COUNTIFS('Frontend Tasks'!$B$2:$B$500,A18,'Frontend Tasks'!$G$2:$G$500,"In Progress")</f>
        <v>0</v>
      </c>
      <c r="E18" s="18" t="n">
        <f aca="false">IF(B18=0,0,C18/B18)</f>
        <v>0</v>
      </c>
    </row>
    <row r="19" customFormat="false" ht="15" hidden="false" customHeight="false" outlineLevel="0" collapsed="false">
      <c r="A19" s="16" t="s">
        <v>293</v>
      </c>
      <c r="B19" s="15" t="n">
        <f aca="false">COUNTIF('Frontend Tasks'!$B$2:$B$500,A19)</f>
        <v>10</v>
      </c>
      <c r="C19" s="15" t="n">
        <f aca="false">COUNTIFS('Frontend Tasks'!$B$2:$B$500,A19,'Frontend Tasks'!$G$2:$G$500,"Done")</f>
        <v>0</v>
      </c>
      <c r="D19" s="15" t="n">
        <f aca="false">COUNTIFS('Frontend Tasks'!$B$2:$B$500,A19,'Frontend Tasks'!$G$2:$G$500,"In Progress")</f>
        <v>0</v>
      </c>
      <c r="E19" s="18" t="n">
        <f aca="false">IF(B19=0,0,C19/B19)</f>
        <v>0</v>
      </c>
    </row>
    <row r="20" customFormat="false" ht="15" hidden="false" customHeight="false" outlineLevel="0" collapsed="false">
      <c r="A20" s="16" t="s">
        <v>334</v>
      </c>
      <c r="B20" s="15" t="n">
        <f aca="false">COUNTIF('Frontend Tasks'!$B$2:$B$500,A20)</f>
        <v>15</v>
      </c>
      <c r="C20" s="15" t="n">
        <f aca="false">COUNTIFS('Frontend Tasks'!$B$2:$B$500,A20,'Frontend Tasks'!$G$2:$G$500,"Done")</f>
        <v>0</v>
      </c>
      <c r="D20" s="15" t="n">
        <f aca="false">COUNTIFS('Frontend Tasks'!$B$2:$B$500,A20,'Frontend Tasks'!$G$2:$G$500,"In Progress")</f>
        <v>0</v>
      </c>
      <c r="E20" s="18" t="n">
        <f aca="false">IF(B20=0,0,C20/B20)</f>
        <v>0</v>
      </c>
    </row>
    <row r="21" customFormat="false" ht="15" hidden="false" customHeight="false" outlineLevel="0" collapsed="false">
      <c r="A21" s="16" t="s">
        <v>393</v>
      </c>
      <c r="B21" s="15" t="n">
        <f aca="false">COUNTIF('Frontend Tasks'!$B$2:$B$500,A21)</f>
        <v>10</v>
      </c>
      <c r="C21" s="15" t="n">
        <f aca="false">COUNTIFS('Frontend Tasks'!$B$2:$B$500,A21,'Frontend Tasks'!$G$2:$G$500,"Done")</f>
        <v>0</v>
      </c>
      <c r="D21" s="15" t="n">
        <f aca="false">COUNTIFS('Frontend Tasks'!$B$2:$B$500,A21,'Frontend Tasks'!$G$2:$G$500,"In Progress")</f>
        <v>0</v>
      </c>
      <c r="E21" s="18" t="n">
        <f aca="false">IF(B21=0,0,C21/B21)</f>
        <v>0</v>
      </c>
    </row>
    <row r="22" customFormat="false" ht="15" hidden="false" customHeight="false" outlineLevel="0" collapsed="false">
      <c r="A22" s="16" t="s">
        <v>434</v>
      </c>
      <c r="B22" s="15" t="n">
        <f aca="false">COUNTIF('Frontend Tasks'!$B$2:$B$500,A22)</f>
        <v>7</v>
      </c>
      <c r="C22" s="15" t="n">
        <f aca="false">COUNTIFS('Frontend Tasks'!$B$2:$B$500,A22,'Frontend Tasks'!$G$2:$G$500,"Done")</f>
        <v>0</v>
      </c>
      <c r="D22" s="15" t="n">
        <f aca="false">COUNTIFS('Frontend Tasks'!$B$2:$B$500,A22,'Frontend Tasks'!$G$2:$G$500,"In Progress")</f>
        <v>0</v>
      </c>
      <c r="E22" s="18" t="n">
        <f aca="false">IF(B22=0,0,C22/B22)</f>
        <v>0</v>
      </c>
    </row>
    <row r="23" customFormat="false" ht="15" hidden="false" customHeight="false" outlineLevel="0" collapsed="false">
      <c r="A23" s="16" t="s">
        <v>459</v>
      </c>
      <c r="B23" s="15" t="n">
        <f aca="false">COUNTIF('Frontend Tasks'!$B$2:$B$500,A23)</f>
        <v>14</v>
      </c>
      <c r="C23" s="15" t="n">
        <f aca="false">COUNTIFS('Frontend Tasks'!$B$2:$B$500,A23,'Frontend Tasks'!$G$2:$G$500,"Done")</f>
        <v>0</v>
      </c>
      <c r="D23" s="15" t="n">
        <f aca="false">COUNTIFS('Frontend Tasks'!$B$2:$B$500,A23,'Frontend Tasks'!$G$2:$G$500,"In Progress")</f>
        <v>0</v>
      </c>
      <c r="E23" s="18" t="n">
        <f aca="false">IF(B23=0,0,C23/B23)</f>
        <v>0</v>
      </c>
    </row>
    <row r="24" customFormat="false" ht="15" hidden="false" customHeight="false" outlineLevel="0" collapsed="false">
      <c r="A24" s="14" t="s">
        <v>524</v>
      </c>
      <c r="B24" s="19" t="n">
        <f aca="false">SUM(B14:B23)</f>
        <v>125</v>
      </c>
      <c r="C24" s="19" t="n">
        <f aca="false">SUM(C14:C23)</f>
        <v>0</v>
      </c>
      <c r="D24" s="19" t="n">
        <f aca="false">SUM(D14:D23)</f>
        <v>0</v>
      </c>
      <c r="E24" s="20" t="n">
        <f aca="false">IF(B24=0,0,C24/B24)</f>
        <v>0</v>
      </c>
    </row>
    <row r="26" customFormat="false" ht="15" hidden="false" customHeight="false" outlineLevel="0" collapsed="false">
      <c r="A26" s="12" t="s">
        <v>5</v>
      </c>
      <c r="B26" s="13" t="s">
        <v>524</v>
      </c>
      <c r="C26" s="13" t="s">
        <v>519</v>
      </c>
      <c r="D26" s="13" t="s">
        <v>521</v>
      </c>
      <c r="E26" s="13" t="s">
        <v>525</v>
      </c>
    </row>
    <row r="27" customFormat="false" ht="15" hidden="false" customHeight="false" outlineLevel="0" collapsed="false">
      <c r="A27" s="16" t="s">
        <v>15</v>
      </c>
      <c r="B27" s="15" t="n">
        <f aca="false">COUNTIF('Frontend Tasks'!$F$2:$F$500,A27)</f>
        <v>92</v>
      </c>
      <c r="C27" s="15" t="n">
        <f aca="false">COUNTIFS('Frontend Tasks'!$F$2:$F$500,A27,'Frontend Tasks'!$G$2:$G$500,"Done")</f>
        <v>0</v>
      </c>
      <c r="D27" s="15" t="n">
        <f aca="false">COUNTIFS('Frontend Tasks'!$F$2:$F$500,A27,'Frontend Tasks'!$G$2:$G$500,"In Progress")</f>
        <v>0</v>
      </c>
      <c r="E27" s="18" t="n">
        <f aca="false">IF(B27=0,0,C27/B27)</f>
        <v>0</v>
      </c>
    </row>
    <row r="28" customFormat="false" ht="15" hidden="false" customHeight="false" outlineLevel="0" collapsed="false">
      <c r="A28" s="16" t="s">
        <v>21</v>
      </c>
      <c r="B28" s="15" t="n">
        <f aca="false">COUNTIF('Frontend Tasks'!$F$2:$F$500,A28)</f>
        <v>30</v>
      </c>
      <c r="C28" s="15" t="n">
        <f aca="false">COUNTIFS('Frontend Tasks'!$F$2:$F$500,A28,'Frontend Tasks'!$G$2:$G$500,"Done")</f>
        <v>0</v>
      </c>
      <c r="D28" s="15" t="n">
        <f aca="false">COUNTIFS('Frontend Tasks'!$F$2:$F$500,A28,'Frontend Tasks'!$G$2:$G$500,"In Progress")</f>
        <v>0</v>
      </c>
      <c r="E28" s="18" t="n">
        <f aca="false">IF(B28=0,0,C28/B28)</f>
        <v>0</v>
      </c>
    </row>
    <row r="29" customFormat="false" ht="15" hidden="false" customHeight="false" outlineLevel="0" collapsed="false">
      <c r="A29" s="16" t="s">
        <v>175</v>
      </c>
      <c r="B29" s="15" t="n">
        <f aca="false">COUNTIF('Frontend Tasks'!$F$2:$F$500,A29)</f>
        <v>3</v>
      </c>
      <c r="C29" s="15" t="n">
        <f aca="false">COUNTIFS('Frontend Tasks'!$F$2:$F$500,A29,'Frontend Tasks'!$G$2:$G$500,"Done")</f>
        <v>0</v>
      </c>
      <c r="D29" s="15" t="n">
        <f aca="false">COUNTIFS('Frontend Tasks'!$F$2:$F$500,A29,'Frontend Tasks'!$G$2:$G$500,"In Progress")</f>
        <v>0</v>
      </c>
      <c r="E29" s="18" t="n">
        <f aca="false">IF(B29=0,0,C29/B29)</f>
        <v>0</v>
      </c>
    </row>
    <row r="32" customFormat="false" ht="15" hidden="false" customHeight="false" outlineLevel="0" collapsed="false">
      <c r="A32" s="21" t="s">
        <v>526</v>
      </c>
    </row>
    <row r="33" customFormat="false" ht="15" hidden="false" customHeight="false" outlineLevel="0" collapsed="false">
      <c r="A33" s="11" t="s">
        <v>527</v>
      </c>
    </row>
    <row r="34" customFormat="false" ht="15" hidden="false" customHeight="false" outlineLevel="0" collapsed="false">
      <c r="A34" s="12" t="s">
        <v>528</v>
      </c>
      <c r="B34" s="13" t="s">
        <v>529</v>
      </c>
    </row>
    <row r="35" customFormat="false" ht="15" hidden="false" customHeight="false" outlineLevel="0" collapsed="false">
      <c r="A35" s="22"/>
      <c r="B35" s="15" t="str">
        <f aca="false">IF(A35="","",COUNTIFS('Frontend Tasks'!$H$2:$H$500,A35,'Frontend Tasks'!$G$2:$G$500,"Done"))</f>
        <v/>
      </c>
    </row>
    <row r="36" customFormat="false" ht="15" hidden="false" customHeight="false" outlineLevel="0" collapsed="false">
      <c r="A36" s="22"/>
      <c r="B36" s="15" t="str">
        <f aca="false">IF(A36="","",COUNTIFS('Frontend Tasks'!$H$2:$H$500,A36,'Frontend Tasks'!$G$2:$G$500,"Done"))</f>
        <v/>
      </c>
    </row>
    <row r="37" customFormat="false" ht="15" hidden="false" customHeight="false" outlineLevel="0" collapsed="false">
      <c r="A37" s="22"/>
      <c r="B37" s="15" t="str">
        <f aca="false">IF(A37="","",COUNTIFS('Frontend Tasks'!$H$2:$H$500,A37,'Frontend Tasks'!$G$2:$G$500,"Done"))</f>
        <v/>
      </c>
    </row>
    <row r="38" customFormat="false" ht="15" hidden="false" customHeight="false" outlineLevel="0" collapsed="false">
      <c r="A38" s="22"/>
      <c r="B38" s="15" t="str">
        <f aca="false">IF(A38="","",COUNTIFS('Frontend Tasks'!$H$2:$H$500,A38,'Frontend Tasks'!$G$2:$G$500,"Done"))</f>
        <v/>
      </c>
    </row>
    <row r="39" customFormat="false" ht="15" hidden="false" customHeight="false" outlineLevel="0" collapsed="false">
      <c r="A39" s="22"/>
      <c r="B39" s="15" t="str">
        <f aca="false">IF(A39="","",COUNTIFS('Frontend Tasks'!$H$2:$H$500,A39,'Frontend Tasks'!$G$2:$G$500,"Done"))</f>
        <v/>
      </c>
    </row>
    <row r="40" customFormat="false" ht="15" hidden="false" customHeight="false" outlineLevel="0" collapsed="false">
      <c r="A40" s="22"/>
      <c r="B40" s="15" t="str">
        <f aca="false">IF(A40="","",COUNTIFS('Frontend Tasks'!$H$2:$H$500,A40,'Frontend Tasks'!$G$2:$G$500,"Done"))</f>
        <v/>
      </c>
    </row>
    <row r="41" customFormat="false" ht="15" hidden="false" customHeight="false" outlineLevel="0" collapsed="false">
      <c r="A41" s="22"/>
      <c r="B41" s="15" t="str">
        <f aca="false">IF(A41="","",COUNTIFS('Frontend Tasks'!$H$2:$H$500,A41,'Frontend Tasks'!$G$2:$G$500,"Done"))</f>
        <v/>
      </c>
    </row>
    <row r="42" customFormat="false" ht="15" hidden="false" customHeight="false" outlineLevel="0" collapsed="false">
      <c r="A42" s="22"/>
      <c r="B42" s="15" t="str">
        <f aca="false">IF(A42="","",COUNTIFS('Frontend Tasks'!$H$2:$H$500,A42,'Frontend Tasks'!$G$2:$G$500,"Done"))</f>
        <v/>
      </c>
    </row>
    <row r="43" customFormat="false" ht="15" hidden="false" customHeight="false" outlineLevel="0" collapsed="false">
      <c r="A43" s="22"/>
      <c r="B43" s="15" t="str">
        <f aca="false">IF(A43="","",COUNTIFS('Frontend Tasks'!$H$2:$H$500,A43,'Frontend Tasks'!$G$2:$G$500,"Done"))</f>
        <v/>
      </c>
    </row>
    <row r="44" customFormat="false" ht="15" hidden="false" customHeight="false" outlineLevel="0" collapsed="false">
      <c r="A44" s="22"/>
      <c r="B44" s="15" t="str">
        <f aca="false">IF(A44="","",COUNTIFS('Frontend Tasks'!$H$2:$H$500,A44,'Frontend Tasks'!$G$2:$G$500,"Done"))</f>
        <v/>
      </c>
    </row>
    <row r="45" customFormat="false" ht="15" hidden="false" customHeight="false" outlineLevel="0" collapsed="false">
      <c r="A45" s="14" t="s">
        <v>530</v>
      </c>
      <c r="B45" s="15" t="n">
        <f aca="false">COUNTIFS('Frontend Tasks'!$G$2:$G$500,"Done",'Frontend Tasks'!$H$2:$H$500,"")</f>
        <v>0</v>
      </c>
    </row>
    <row r="46" customFormat="false" ht="15" hidden="false" customHeight="false" outlineLevel="0" collapsed="false">
      <c r="A46" s="11" t="s">
        <v>531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95"/>
  </cols>
  <sheetData>
    <row r="1" customFormat="false" ht="17.35" hidden="false" customHeight="false" outlineLevel="0" collapsed="false">
      <c r="A1" s="23" t="s">
        <v>532</v>
      </c>
    </row>
    <row r="3" customFormat="false" ht="31.5" hidden="false" customHeight="true" outlineLevel="0" collapsed="false">
      <c r="A3" s="4" t="s">
        <v>533</v>
      </c>
      <c r="B3" s="5" t="s">
        <v>534</v>
      </c>
    </row>
    <row r="4" customFormat="false" ht="31.5" hidden="false" customHeight="true" outlineLevel="0" collapsed="false">
      <c r="A4" s="4" t="s">
        <v>535</v>
      </c>
      <c r="B4" s="5" t="s">
        <v>536</v>
      </c>
    </row>
    <row r="5" customFormat="false" ht="18" hidden="false" customHeight="true" outlineLevel="0" collapsed="false">
      <c r="A5" s="4" t="s">
        <v>537</v>
      </c>
      <c r="B5" s="5" t="s">
        <v>538</v>
      </c>
    </row>
    <row r="6" customFormat="false" ht="31.5" hidden="false" customHeight="true" outlineLevel="0" collapsed="false">
      <c r="A6" s="4" t="s">
        <v>5</v>
      </c>
      <c r="B6" s="5" t="s">
        <v>539</v>
      </c>
    </row>
    <row r="7" customFormat="false" ht="31.5" hidden="false" customHeight="true" outlineLevel="0" collapsed="false">
      <c r="A7" s="4" t="s">
        <v>7</v>
      </c>
      <c r="B7" s="5" t="s">
        <v>540</v>
      </c>
    </row>
    <row r="8" customFormat="false" ht="18" hidden="false" customHeight="true" outlineLevel="0" collapsed="false">
      <c r="A8" s="4" t="s">
        <v>8</v>
      </c>
      <c r="B8" s="5" t="s">
        <v>541</v>
      </c>
    </row>
    <row r="9" customFormat="false" ht="31.5" hidden="false" customHeight="true" outlineLevel="0" collapsed="false">
      <c r="A9" s="4" t="s">
        <v>542</v>
      </c>
      <c r="B9" s="5" t="s">
        <v>543</v>
      </c>
    </row>
    <row r="10" customFormat="false" ht="31.5" hidden="false" customHeight="true" outlineLevel="0" collapsed="false">
      <c r="A10" s="4" t="s">
        <v>544</v>
      </c>
      <c r="B10" s="5" t="s">
        <v>545</v>
      </c>
    </row>
    <row r="11" customFormat="false" ht="31.5" hidden="false" customHeight="true" outlineLevel="0" collapsed="false">
      <c r="A11" s="4" t="s">
        <v>546</v>
      </c>
      <c r="B11" s="5" t="s">
        <v>547</v>
      </c>
    </row>
    <row r="12" customFormat="false" ht="31.5" hidden="false" customHeight="true" outlineLevel="0" collapsed="false">
      <c r="A12" s="4" t="s">
        <v>548</v>
      </c>
      <c r="B12" s="5" t="s">
        <v>549</v>
      </c>
    </row>
    <row r="13" customFormat="false" ht="31.5" hidden="false" customHeight="true" outlineLevel="0" collapsed="false">
      <c r="A13" s="4" t="s">
        <v>550</v>
      </c>
      <c r="B13" s="5" t="s">
        <v>551</v>
      </c>
    </row>
    <row r="14" customFormat="false" ht="31.5" hidden="false" customHeight="true" outlineLevel="0" collapsed="false">
      <c r="A14" s="4" t="s">
        <v>552</v>
      </c>
      <c r="B14" s="5" t="s">
        <v>553</v>
      </c>
    </row>
    <row r="15" customFormat="false" ht="15" hidden="false" customHeight="false" outlineLevel="0" collapsed="false">
      <c r="A15" s="24"/>
      <c r="B15" s="2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2026-09-21T12:18:39Z</dcterms:created>
  <dc:creator>openpyxl</dc:creator>
  <dc:description/>
  <dc:language>en-US</dc:language>
  <cp:lastModifiedBy/>
  <dcterms:modified xsi:type="dcterms:W3CDTF">2026-09-21T12:18:39Z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