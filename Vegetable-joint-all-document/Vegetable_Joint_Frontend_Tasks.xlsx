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rontend Tasks" sheetId="1" state="visible" r:id="rId3"/>
    <sheet name="Summary" sheetId="2" state="visible" r:id="rId4"/>
    <sheet name="How to Use" sheetId="3" state="visible" r:id="rId5"/>
  </sheets>
  <definedNames>
    <definedName function="false" hidden="true" localSheetId="0" name="_xlnm._FilterDatabase" vbProcedure="false">'Frontend Tasks'!$A$1:$J$126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<sst xmlns="http://schemas.openxmlformats.org/spreadsheetml/2006/main" count="951" uniqueCount="554">
  <si>
    <t xml:space="preserve">Task ID</t>
  </si>
  <si>
    <t xml:space="preserve">Module</t>
  </si>
  <si>
    <t xml:space="preserve">Task</t>
  </si>
  <si>
    <t xml:space="preserve">Details / Acceptance criteria</t>
  </si>
  <si>
    <t xml:space="preserve">SRS Ref</t>
  </si>
  <si>
    <t xml:space="preserve">Priority</t>
  </si>
  <si>
    <t xml:space="preserve">Status</t>
  </si>
  <si>
    <t xml:space="preserve">Done By</t>
  </si>
  <si>
    <t xml:space="preserve">Date Done</t>
  </si>
  <si>
    <t xml:space="preserve">Notes</t>
  </si>
  <si>
    <t xml:space="preserve">FE-001</t>
  </si>
  <si>
    <t xml:space="preserve">1. Setup &amp; Foundation</t>
  </si>
  <si>
    <t xml:space="preserve">Initialise React project and folder structure</t>
  </si>
  <si>
    <t xml:space="preserve">Vite + React app with assets, components, pages, services, data, hooks, context, routes, utils folders. App runs with npm run dev.</t>
  </si>
  <si>
    <t xml:space="preserve">CON-01, NFR-MAIN-01</t>
  </si>
  <si>
    <t xml:space="preserve">Must</t>
  </si>
  <si>
    <t xml:space="preserve">Not Started</t>
  </si>
  <si>
    <t xml:space="preserve">FE-002</t>
  </si>
  <si>
    <t xml:space="preserve">Configure ESLint, Prettier and pre-commit checks</t>
  </si>
  <si>
    <t xml:space="preserve">Lint and format scripts pass on a clean checkout; hook blocks commits that fail lint.</t>
  </si>
  <si>
    <t xml:space="preserve">NFR-MAIN-03</t>
  </si>
  <si>
    <t xml:space="preserve">Should</t>
  </si>
  <si>
    <t xml:space="preserve">FE-003</t>
  </si>
  <si>
    <t xml:space="preserve">Environment configuration</t>
  </si>
  <si>
    <t xml:space="preserve">Create .env.example with API base URL and a mock/API switch. No secrets committed.</t>
  </si>
  <si>
    <t xml:space="preserve">NFR-MAIN-02, NFR-SEC-09</t>
  </si>
  <si>
    <t xml:space="preserve">FE-004</t>
  </si>
  <si>
    <t xml:space="preserve">Set up routing with full route map</t>
  </si>
  <si>
    <t xml:space="preserve">React Router routes for public, buyer, seller, admin and error pages exactly as in SRS 4.1.2.</t>
  </si>
  <si>
    <t xml:space="preserve">SRS 4.1.2</t>
  </si>
  <si>
    <t xml:space="preserve">FE-005</t>
  </si>
  <si>
    <t xml:space="preserve">Design tokens and global styles</t>
  </si>
  <si>
    <t xml:space="preserve">Colours, typography, spacing, breakpoints defined once; consistent across all roles.</t>
  </si>
  <si>
    <t xml:space="preserve">UI-02</t>
  </si>
  <si>
    <t xml:space="preserve">FE-006</t>
  </si>
  <si>
    <t xml:space="preserve">Responsive layout shell</t>
  </si>
  <si>
    <t xml:space="preserve">Layout works from 360 px to 1920 px with no horizontal page scroll (breakpoints 360/768/1024/1280).</t>
  </si>
  <si>
    <t xml:space="preserve">NFR-COMP-02, UI-04</t>
  </si>
  <si>
    <t xml:space="preserve">FE-007</t>
  </si>
  <si>
    <t xml:space="preserve">Formatting utilities (currency, dates)</t>
  </si>
  <si>
    <t xml:space="preserve">Prices show as ₦2,500 with unit; timestamps stored UTC, displayed Africa/Lagos.</t>
  </si>
  <si>
    <t xml:space="preserve">NFR-USAB-04, NFR-LOC-02</t>
  </si>
  <si>
    <t xml:space="preserve">FE-008</t>
  </si>
  <si>
    <t xml:space="preserve">UI strings/constants file</t>
  </si>
  <si>
    <t xml:space="preserve">User-facing text (incl. standard error messages) kept in one place so translation can be added later.</t>
  </si>
  <si>
    <t xml:space="preserve">NFR-LOC-01, ERR-01</t>
  </si>
  <si>
    <t xml:space="preserve">FE-009</t>
  </si>
  <si>
    <t xml:space="preserve">API client wrapper</t>
  </si>
  <si>
    <t xml:space="preserve">Base URL, Authorization header, JSON envelope handling, normalised errors (401/403/404/409/422/429/5xx).</t>
  </si>
  <si>
    <t xml:space="preserve">IF-01 to IF-05</t>
  </si>
  <si>
    <t xml:space="preserve">FE-010</t>
  </si>
  <si>
    <t xml:space="preserve">Service layer skeleton</t>
  </si>
  <si>
    <t xml:space="preserve">productService, categoryService, orderService, authService, sellerService, adminService; components never import mock data directly.</t>
  </si>
  <si>
    <t xml:space="preserve">CON-02</t>
  </si>
  <si>
    <t xml:space="preserve">FE-011</t>
  </si>
  <si>
    <t xml:space="preserve">Mock data conforming to API schema</t>
  </si>
  <si>
    <t xml:space="preserve">Mock products, sellers, categories, orders match the API/OpenAPI field names and shapes.</t>
  </si>
  <si>
    <t xml:space="preserve">IF-06, NFR-MAIN-05</t>
  </si>
  <si>
    <t xml:space="preserve">FE-012</t>
  </si>
  <si>
    <t xml:space="preserve">Mock/API switch</t>
  </si>
  <si>
    <t xml:space="preserve">One environment setting flips all services between mock data and the Laravel API with zero component changes.</t>
  </si>
  <si>
    <t xml:space="preserve">NFR-MAIN-02</t>
  </si>
  <si>
    <t xml:space="preserve">FE-013</t>
  </si>
  <si>
    <t xml:space="preserve">Auth context</t>
  </si>
  <si>
    <t xml:space="preserve">Holds user, role and token; login, logout, session restore on refresh.</t>
  </si>
  <si>
    <t xml:space="preserve">AUTH-04, AUTH-05</t>
  </si>
  <si>
    <t xml:space="preserve">FE-014</t>
  </si>
  <si>
    <t xml:space="preserve">Cart context with persistence</t>
  </si>
  <si>
    <t xml:space="preserve">Cart survives refresh and browser restart on the same device; storage calls wrapped in try/catch.</t>
  </si>
  <si>
    <t xml:space="preserve">CART-06</t>
  </si>
  <si>
    <t xml:space="preserve">FE-015</t>
  </si>
  <si>
    <t xml:space="preserve">Route guards (role-based)</t>
  </si>
  <si>
    <t xml:space="preserve">Buyer, Seller and Admin routes blocked for other roles; unauthenticated users sent to login and back.</t>
  </si>
  <si>
    <t xml:space="preserve">AUTH-07</t>
  </si>
  <si>
    <t xml:space="preserve">FE-016</t>
  </si>
  <si>
    <t xml:space="preserve">Error boundary and error pages</t>
  </si>
  <si>
    <t xml:space="preserve">Friendly 403, 404, 500 pages; session-expired prompt returns user to login and back.</t>
  </si>
  <si>
    <t xml:space="preserve">ERR-04</t>
  </si>
  <si>
    <t xml:space="preserve">FE-017</t>
  </si>
  <si>
    <t xml:space="preserve">Loading, empty and error state components</t>
  </si>
  <si>
    <t xml:space="preserve">Reusable spinner/skeleton, empty state, and “Unable to load… Try again” with retry.</t>
  </si>
  <si>
    <t xml:space="preserve">MKT-10, ERR-01</t>
  </si>
  <si>
    <t xml:space="preserve">FE-018</t>
  </si>
  <si>
    <t xml:space="preserve">Toast/notification component</t>
  </si>
  <si>
    <t xml:space="preserve">Success and error toasts used consistently across forms and actions.</t>
  </si>
  <si>
    <t xml:space="preserve">ERR-03</t>
  </si>
  <si>
    <t xml:space="preserve">FE-019</t>
  </si>
  <si>
    <t xml:space="preserve">Test framework setup</t>
  </si>
  <si>
    <t xml:space="preserve">Vitest/Jest and React Testing Library configured; sample test runs in CI.</t>
  </si>
  <si>
    <t xml:space="preserve">NFR-MAIN-04</t>
  </si>
  <si>
    <t xml:space="preserve">FE-020</t>
  </si>
  <si>
    <t xml:space="preserve">CI pipeline</t>
  </si>
  <si>
    <t xml:space="preserve">GitHub Actions runs lint, tests and build on every pull request.</t>
  </si>
  <si>
    <t xml:space="preserve">NFR-MAIN-07</t>
  </si>
  <si>
    <t xml:space="preserve">FE-021</t>
  </si>
  <si>
    <t xml:space="preserve">Route-level code splitting</t>
  </si>
  <si>
    <t xml:space="preserve">Seller and admin dashboards lazy-loaded; initial bundle ≤ 250 KB gzipped.</t>
  </si>
  <si>
    <t xml:space="preserve">NFR-PERF-01</t>
  </si>
  <si>
    <t xml:space="preserve">FE-022</t>
  </si>
  <si>
    <t xml:space="preserve">2. Shared Components</t>
  </si>
  <si>
    <t xml:space="preserve">Navbar</t>
  </si>
  <si>
    <t xml:space="preserve">Logo, search, categories link, cart with item count, login/register or account menu; options depend on role.</t>
  </si>
  <si>
    <t xml:space="preserve">UI-01, UI-07, CART-07</t>
  </si>
  <si>
    <t xml:space="preserve">FE-023</t>
  </si>
  <si>
    <t xml:space="preserve">Footer</t>
  </si>
  <si>
    <t xml:space="preserve">Marketplace info and links; content editable from admin settings later.</t>
  </si>
  <si>
    <t xml:space="preserve">MKT-01, ADM-08</t>
  </si>
  <si>
    <t xml:space="preserve">FE-024</t>
  </si>
  <si>
    <t xml:space="preserve">Form field components</t>
  </si>
  <si>
    <t xml:space="preserve">Input, select, textarea, checkbox with labels, inline validation messages, correct input types and autocomplete.</t>
  </si>
  <si>
    <t xml:space="preserve">UI-05, NFR-USAB-05</t>
  </si>
  <si>
    <t xml:space="preserve">FE-025</t>
  </si>
  <si>
    <t xml:space="preserve">Button and link components</t>
  </si>
  <si>
    <t xml:space="preserve">Primary/secondary/danger variants; disabled and loading states; touch targets ≥ 44×44 px.</t>
  </si>
  <si>
    <t xml:space="preserve">UI-03, NFR-USAB-03</t>
  </si>
  <si>
    <t xml:space="preserve">FE-026</t>
  </si>
  <si>
    <t xml:space="preserve">ProductCard</t>
  </si>
  <si>
    <t xml:space="preserve">Image, name, price with unit, seller, location, availability badge, rating, “View Product”.</t>
  </si>
  <si>
    <t xml:space="preserve">MKT-02, REV-01</t>
  </si>
  <si>
    <t xml:space="preserve">FE-027</t>
  </si>
  <si>
    <t xml:space="preserve">Availability badge</t>
  </si>
  <si>
    <t xml:space="preserve">Shows Available / Out of Stock / Unavailable from stock and availability flag.</t>
  </si>
  <si>
    <t xml:space="preserve">SEL-07, BR-01</t>
  </si>
  <si>
    <t xml:space="preserve">FE-028</t>
  </si>
  <si>
    <t xml:space="preserve">Rating display</t>
  </si>
  <si>
    <t xml:space="preserve">Shows 0–5 value with one decimal or “No ratings yet”.</t>
  </si>
  <si>
    <t xml:space="preserve">REV-01</t>
  </si>
  <si>
    <t xml:space="preserve">FE-029</t>
  </si>
  <si>
    <t xml:space="preserve">Pagination component</t>
  </si>
  <si>
    <t xml:space="preserve">Page controls tied to URL; default 12 per page.</t>
  </si>
  <si>
    <t xml:space="preserve">MKT-03</t>
  </si>
  <si>
    <t xml:space="preserve">FE-030</t>
  </si>
  <si>
    <t xml:space="preserve">Quantity selector</t>
  </si>
  <si>
    <t xml:space="preserve">Min 1, max available stock; disabled when out of stock.</t>
  </si>
  <si>
    <t xml:space="preserve">MKT-06, CART-02</t>
  </si>
  <si>
    <t xml:space="preserve">FE-031</t>
  </si>
  <si>
    <t xml:space="preserve">Category card/chip</t>
  </si>
  <si>
    <t xml:space="preserve">Used on homepage and filter panel; data-driven from API.</t>
  </si>
  <si>
    <t xml:space="preserve">MKT-08, MKT-09</t>
  </si>
  <si>
    <t xml:space="preserve">FE-032</t>
  </si>
  <si>
    <t xml:space="preserve">Seller card</t>
  </si>
  <si>
    <t xml:space="preserve">Business name, location, rating/summary, link to seller profile.</t>
  </si>
  <si>
    <t xml:space="preserve">MKT-01, MKT-07</t>
  </si>
  <si>
    <t xml:space="preserve">FE-033</t>
  </si>
  <si>
    <t xml:space="preserve">Search bar</t>
  </si>
  <si>
    <t xml:space="preserve">Keyword search with submit; used in navbar and hero.</t>
  </si>
  <si>
    <t xml:space="preserve">SRCH-01</t>
  </si>
  <si>
    <t xml:space="preserve">FE-034</t>
  </si>
  <si>
    <t xml:space="preserve">Filter panel</t>
  </si>
  <si>
    <t xml:space="preserve">Category, price range, availability, seller, location; collapsible on mobile.</t>
  </si>
  <si>
    <t xml:space="preserve">SRCH-02, SRCH-03</t>
  </si>
  <si>
    <t xml:space="preserve">FE-035</t>
  </si>
  <si>
    <t xml:space="preserve">Sort dropdown</t>
  </si>
  <si>
    <t xml:space="preserve">Price low→high, high→low, newest (popularity/rating when available).</t>
  </si>
  <si>
    <t xml:space="preserve">SRCH-04, SRCH-05</t>
  </si>
  <si>
    <t xml:space="preserve">FE-036</t>
  </si>
  <si>
    <t xml:space="preserve">Modal / confirm dialog</t>
  </si>
  <si>
    <t xml:space="preserve">Accessible dialog for delete, cancel and override confirmations.</t>
  </si>
  <si>
    <t xml:space="preserve">SEL-04, ORD-07</t>
  </si>
  <si>
    <t xml:space="preserve">FE-037</t>
  </si>
  <si>
    <t xml:space="preserve">Responsive data table</t>
  </si>
  <si>
    <t xml:space="preserve">Table that scrolls or turns into cards on tablets; used across dashboards.</t>
  </si>
  <si>
    <t xml:space="preserve">NFR-USAB-06</t>
  </si>
  <si>
    <t xml:space="preserve">FE-038</t>
  </si>
  <si>
    <t xml:space="preserve">Order status badge and timeline</t>
  </si>
  <si>
    <t xml:space="preserve">Colour-coded status badge; timeline of status history with timestamps.</t>
  </si>
  <si>
    <t xml:space="preserve">ORD-02, ORD-06</t>
  </si>
  <si>
    <t xml:space="preserve">FE-039</t>
  </si>
  <si>
    <t xml:space="preserve">Lazy image with placeholder</t>
  </si>
  <si>
    <t xml:space="preserve">Lazy-loads below the fold; default placeholder when image missing or fails.</t>
  </si>
  <si>
    <t xml:space="preserve">NFR-PERF-03, NFR-COMP-03, SEL-05</t>
  </si>
  <si>
    <t xml:space="preserve">FE-040</t>
  </si>
  <si>
    <t xml:space="preserve">Skeleton loaders</t>
  </si>
  <si>
    <t xml:space="preserve">Skeletons for product grid, tables and detail pages.</t>
  </si>
  <si>
    <t xml:space="preserve">MKT-10</t>
  </si>
  <si>
    <t xml:space="preserve">Could</t>
  </si>
  <si>
    <t xml:space="preserve">FE-041</t>
  </si>
  <si>
    <t xml:space="preserve">3. Public Pages</t>
  </si>
  <si>
    <t xml:space="preserve">Home: hero section with search</t>
  </si>
  <si>
    <t xml:space="preserve">Headline, call to action and search box.</t>
  </si>
  <si>
    <t xml:space="preserve">MKT-01</t>
  </si>
  <si>
    <t xml:space="preserve">FE-042</t>
  </si>
  <si>
    <t xml:space="preserve">Home: featured products section</t>
  </si>
  <si>
    <t xml:space="preserve">Grid of featured/latest products from the service layer.</t>
  </si>
  <si>
    <t xml:space="preserve">FE-043</t>
  </si>
  <si>
    <t xml:space="preserve">Home: categories section</t>
  </si>
  <si>
    <t xml:space="preserve">Category cards linking to filtered listing.</t>
  </si>
  <si>
    <t xml:space="preserve">MKT-01, MKT-08</t>
  </si>
  <si>
    <t xml:space="preserve">FE-044</t>
  </si>
  <si>
    <t xml:space="preserve">Home: featured sellers section</t>
  </si>
  <si>
    <t xml:space="preserve">Seller cards linking to seller profile.</t>
  </si>
  <si>
    <t xml:space="preserve">FE-045</t>
  </si>
  <si>
    <t xml:space="preserve">Home: how it works, benefits and CTA sections</t>
  </si>
  <si>
    <t xml:space="preserve">Static content sections per source design; responsive.</t>
  </si>
  <si>
    <t xml:space="preserve">FE-046</t>
  </si>
  <si>
    <t xml:space="preserve">Products listing page</t>
  </si>
  <si>
    <t xml:space="preserve">Paginated grid of ProductCards showing only publicly purchasable listings.</t>
  </si>
  <si>
    <t xml:space="preserve">MKT-02, MKT-03, MKT-04</t>
  </si>
  <si>
    <t xml:space="preserve">FE-047</t>
  </si>
  <si>
    <t xml:space="preserve">Search, filter and sort wired to URL</t>
  </si>
  <si>
    <t xml:space="preserve">Criteria combine and are reflected in the page URL so results can be bookmarked/shared.</t>
  </si>
  <si>
    <t xml:space="preserve">SRCH-01 to SRCH-06</t>
  </si>
  <si>
    <t xml:space="preserve">FE-048</t>
  </si>
  <si>
    <t xml:space="preserve">No-results state and clear filters</t>
  </si>
  <si>
    <t xml:space="preserve">“No results” message with one-click clear all filters.</t>
  </si>
  <si>
    <t xml:space="preserve">SRCH-07, SRCH-08</t>
  </si>
  <si>
    <t xml:space="preserve">FE-049</t>
  </si>
  <si>
    <t xml:space="preserve">Category browsing</t>
  </si>
  <si>
    <t xml:space="preserve">Browse by category from homepage and filter panel.</t>
  </si>
  <si>
    <t xml:space="preserve">MKT-08</t>
  </si>
  <si>
    <t xml:space="preserve">FE-050</t>
  </si>
  <si>
    <t xml:space="preserve">Product details page</t>
  </si>
  <si>
    <t xml:space="preserve">Name, image, description, price, unit, stock, seller, location, availability, rating.</t>
  </si>
  <si>
    <t xml:space="preserve">MKT-05</t>
  </si>
  <si>
    <t xml:space="preserve">FE-051</t>
  </si>
  <si>
    <t xml:space="preserve">Product details: add to cart</t>
  </si>
  <si>
    <t xml:space="preserve">Quantity selector limited to stock; disabled with “Out of Stock” when unavailable.</t>
  </si>
  <si>
    <t xml:space="preserve">MKT-06, CART-01</t>
  </si>
  <si>
    <t xml:space="preserve">FE-052</t>
  </si>
  <si>
    <t xml:space="preserve">Seller profile page</t>
  </si>
  <si>
    <t xml:space="preserve">Business name, description, location and that seller’s available products.</t>
  </si>
  <si>
    <t xml:space="preserve">MKT-07</t>
  </si>
  <si>
    <t xml:space="preserve">FE-053</t>
  </si>
  <si>
    <t xml:space="preserve">Static policy pages</t>
  </si>
  <si>
    <t xml:space="preserve">Terms of use, privacy notice and refund/dispute policy pages (content from project owner).</t>
  </si>
  <si>
    <t xml:space="preserve">NFR-SEC-12, OI-10, OI-11</t>
  </si>
  <si>
    <t xml:space="preserve">FE-054</t>
  </si>
  <si>
    <t xml:space="preserve">4. Cart</t>
  </si>
  <si>
    <t xml:space="preserve">Cart page layout</t>
  </si>
  <si>
    <t xml:space="preserve">Lines show product, quantity, unit price, subtotal; grand total; continue shopping and checkout buttons.</t>
  </si>
  <si>
    <t xml:space="preserve">CART-04, CART-05</t>
  </si>
  <si>
    <t xml:space="preserve">FE-055</t>
  </si>
  <si>
    <t xml:space="preserve">Add / update / remove cart items</t>
  </si>
  <si>
    <t xml:space="preserve">Quantity changes clamp between 1 and stock; remove deletes the line.</t>
  </si>
  <si>
    <t xml:space="preserve">CART-01 to CART-03</t>
  </si>
  <si>
    <t xml:space="preserve">FE-056</t>
  </si>
  <si>
    <t xml:space="preserve">Cart totals calculation utility</t>
  </si>
  <si>
    <t xml:space="preserve">Line subtotal = price × qty; total = sum; unit-tested; server value is authoritative.</t>
  </si>
  <si>
    <t xml:space="preserve">CART-04, BR-02</t>
  </si>
  <si>
    <t xml:space="preserve">FE-057</t>
  </si>
  <si>
    <t xml:space="preserve">Empty cart state</t>
  </si>
  <si>
    <t xml:space="preserve">Shows “Your cart is empty.” and blocks checkout.</t>
  </si>
  <si>
    <t xml:space="preserve">CART-05</t>
  </si>
  <si>
    <t xml:space="preserve">FE-058</t>
  </si>
  <si>
    <t xml:space="preserve">Cart badge in navbar</t>
  </si>
  <si>
    <t xml:space="preserve">Live item count.</t>
  </si>
  <si>
    <t xml:space="preserve">CART-07</t>
  </si>
  <si>
    <t xml:space="preserve">FE-059</t>
  </si>
  <si>
    <t xml:space="preserve">Cart re-validation notices</t>
  </si>
  <si>
    <t xml:space="preserve">On checkout, call cart validate; show price/stock changes and unavailable items before proceeding.</t>
  </si>
  <si>
    <t xml:space="preserve">CART-08</t>
  </si>
  <si>
    <t xml:space="preserve">FE-060</t>
  </si>
  <si>
    <t xml:space="preserve">Guest checkout redirect keeps cart</t>
  </si>
  <si>
    <t xml:space="preserve">Guest is asked to log in or register and returns to checkout with the cart intact.</t>
  </si>
  <si>
    <t xml:space="preserve">CART-09</t>
  </si>
  <si>
    <t xml:space="preserve">FE-061</t>
  </si>
  <si>
    <t xml:space="preserve">Server-side cart sync (later)</t>
  </si>
  <si>
    <t xml:space="preserve">Optional sync of authenticated buyer cart across devices.</t>
  </si>
  <si>
    <t xml:space="preserve">CART-10</t>
  </si>
  <si>
    <t xml:space="preserve">FE-062</t>
  </si>
  <si>
    <t xml:space="preserve">5. Authentication &amp; Account</t>
  </si>
  <si>
    <t xml:space="preserve">Buyer registration page</t>
  </si>
  <si>
    <t xml:space="preserve">Name, email, phone, password with validation (unique email, ≥ 8 chars with letters and digits).</t>
  </si>
  <si>
    <t xml:space="preserve">AUTH-01, AUTH-08</t>
  </si>
  <si>
    <t xml:space="preserve">FE-063</t>
  </si>
  <si>
    <t xml:space="preserve">Seller registration page</t>
  </si>
  <si>
    <t xml:space="preserve">Buyer fields plus business name, location, description.</t>
  </si>
  <si>
    <t xml:space="preserve">AUTH-02</t>
  </si>
  <si>
    <t xml:space="preserve">FE-064</t>
  </si>
  <si>
    <t xml:space="preserve">Seller “pending approval” notice</t>
  </si>
  <si>
    <t xml:space="preserve">After registration and login, seller sees pending/rejected/suspended status and cannot publish.</t>
  </si>
  <si>
    <t xml:space="preserve">AUTH-03, ADM-03</t>
  </si>
  <si>
    <t xml:space="preserve">FE-065</t>
  </si>
  <si>
    <t xml:space="preserve">Login page</t>
  </si>
  <si>
    <t xml:space="preserve">Email and password; generic “Invalid login credentials.”; role-based redirect after login.</t>
  </si>
  <si>
    <t xml:space="preserve">AUTH-04, AUTH-09, AUTH-13</t>
  </si>
  <si>
    <t xml:space="preserve">FE-066</t>
  </si>
  <si>
    <t xml:space="preserve">Login throttling and suspended messages</t>
  </si>
  <si>
    <t xml:space="preserve">Friendly handling of 429 (too many attempts) and suspended account messages.</t>
  </si>
  <si>
    <t xml:space="preserve">AUTH-09, AUTH-12</t>
  </si>
  <si>
    <t xml:space="preserve">FE-067</t>
  </si>
  <si>
    <t xml:space="preserve">Forgot and reset password pages</t>
  </si>
  <si>
    <t xml:space="preserve">Request link by email; reset form using time-limited token.</t>
  </si>
  <si>
    <t xml:space="preserve">AUTH-06</t>
  </si>
  <si>
    <t xml:space="preserve">FE-068</t>
  </si>
  <si>
    <t xml:space="preserve">Logout and session-expiry handling</t>
  </si>
  <si>
    <t xml:space="preserve">Logout clears token; 401 anywhere returns user to login and back after sign-in.</t>
  </si>
  <si>
    <t xml:space="preserve">AUTH-05, ERR-04</t>
  </si>
  <si>
    <t xml:space="preserve">FE-069</t>
  </si>
  <si>
    <t xml:space="preserve">Profile page</t>
  </si>
  <si>
    <t xml:space="preserve">View/edit name, phone (and business details for sellers); change password.</t>
  </si>
  <si>
    <t xml:space="preserve">AUTH-11</t>
  </si>
  <si>
    <t xml:space="preserve">FE-070</t>
  </si>
  <si>
    <t xml:space="preserve">6. Checkout &amp; Buyer Orders</t>
  </si>
  <si>
    <t xml:space="preserve">Checkout page: delivery details form</t>
  </si>
  <si>
    <t xml:space="preserve">Recipient name, phone, address (street, town/area, state), optional notes; prefilled from profile.</t>
  </si>
  <si>
    <t xml:space="preserve">CHK-02</t>
  </si>
  <si>
    <t xml:space="preserve">FE-071</t>
  </si>
  <si>
    <t xml:space="preserve">Checkout page: order summary and review</t>
  </si>
  <si>
    <t xml:space="preserve">Items, quantities, prices, subtotals, total; explicit confirm step.</t>
  </si>
  <si>
    <t xml:space="preserve">CHK-03</t>
  </si>
  <si>
    <t xml:space="preserve">FE-072</t>
  </si>
  <si>
    <t xml:space="preserve">Checkout stepper</t>
  </si>
  <si>
    <t xml:space="preserve">Cart → Delivery details → Review → Confirmation in no more than four steps.</t>
  </si>
  <si>
    <t xml:space="preserve">CHK-10</t>
  </si>
  <si>
    <t xml:space="preserve">FE-073</t>
  </si>
  <si>
    <t xml:space="preserve">Payment method display</t>
  </si>
  <si>
    <t xml:space="preserve">Show “Pay on delivery / pay seller directly”; no online payment in 1.0.</t>
  </si>
  <si>
    <t xml:space="preserve">CHK-09</t>
  </si>
  <si>
    <t xml:space="preserve">FE-074</t>
  </si>
  <si>
    <t xml:space="preserve">Place order and handle failures</t>
  </si>
  <si>
    <t xml:space="preserve">Handle 409/422 (insufficient stock, price change) with clear per-item messages.</t>
  </si>
  <si>
    <t xml:space="preserve">CHK-04, ERR-01</t>
  </si>
  <si>
    <t xml:space="preserve">FE-075</t>
  </si>
  <si>
    <t xml:space="preserve">Idempotent order submission</t>
  </si>
  <si>
    <t xml:space="preserve">Generate checkout reference (UUID), disable submit after click, safe retry.</t>
  </si>
  <si>
    <t xml:space="preserve">NFR-REL-04, CHK-05</t>
  </si>
  <si>
    <t xml:space="preserve">FE-076</t>
  </si>
  <si>
    <t xml:space="preserve">Order confirmation page</t>
  </si>
  <si>
    <t xml:space="preserve">Order number(s), items, total, delivery details; cart cleared.</t>
  </si>
  <si>
    <t xml:space="preserve">CHK-08</t>
  </si>
  <si>
    <t xml:space="preserve">FE-077</t>
  </si>
  <si>
    <t xml:space="preserve">My Orders list</t>
  </si>
  <si>
    <t xml:space="preserve">Newest first, paginated; order number, date, seller, total, status.</t>
  </si>
  <si>
    <t xml:space="preserve">ORD-01</t>
  </si>
  <si>
    <t xml:space="preserve">FE-078</t>
  </si>
  <si>
    <t xml:space="preserve">Order detail page</t>
  </si>
  <si>
    <t xml:space="preserve">Items, delivery details, status timeline with timestamps and cancellation reason.</t>
  </si>
  <si>
    <t xml:space="preserve">ORD-02, ORD-07</t>
  </si>
  <si>
    <t xml:space="preserve">FE-079</t>
  </si>
  <si>
    <t xml:space="preserve">Cancel pending order</t>
  </si>
  <si>
    <t xml:space="preserve">Cancel button only while Pending; confirm dialog; refresh status.</t>
  </si>
  <si>
    <t xml:space="preserve">ORD-03</t>
  </si>
  <si>
    <t xml:space="preserve">FE-080</t>
  </si>
  <si>
    <t xml:space="preserve">7. Seller Dashboard</t>
  </si>
  <si>
    <t xml:space="preserve">Seller dashboard layout and navigation</t>
  </si>
  <si>
    <t xml:space="preserve">Sections: Overview, Products, Add Product, Orders, Inventory, Sales, Profile; responsive sidebar.</t>
  </si>
  <si>
    <t xml:space="preserve">SEL-01</t>
  </si>
  <si>
    <t xml:space="preserve">FE-081</t>
  </si>
  <si>
    <t xml:space="preserve">Overview page</t>
  </si>
  <si>
    <t xml:space="preserve">New (Pending) orders, low-stock items, latest sales figures.</t>
  </si>
  <si>
    <t xml:space="preserve">SEL-13</t>
  </si>
  <si>
    <t xml:space="preserve">FE-082</t>
  </si>
  <si>
    <t xml:space="preserve">My products list</t>
  </si>
  <si>
    <t xml:space="preserve">Table with search, availability, stock, edit and delete actions.</t>
  </si>
  <si>
    <t xml:space="preserve">SEL-02, SEL-03</t>
  </si>
  <si>
    <t xml:space="preserve">FE-083</t>
  </si>
  <si>
    <t xml:space="preserve">Add product form</t>
  </si>
  <si>
    <t xml:space="preserve">Name, category, price (&gt; 0), unit, quantity (≥ 0), description, availability, image; inline validation.</t>
  </si>
  <si>
    <t xml:space="preserve">SEL-02</t>
  </si>
  <si>
    <t xml:space="preserve">FE-084</t>
  </si>
  <si>
    <t xml:space="preserve">Product image upload</t>
  </si>
  <si>
    <t xml:space="preserve">Client-side check of type (JPEG/PNG/WebP) and size (≤ 2 MB); preview; upload with progress.</t>
  </si>
  <si>
    <t xml:space="preserve">SEL-05</t>
  </si>
  <si>
    <t xml:space="preserve">FE-085</t>
  </si>
  <si>
    <t xml:space="preserve">Edit product form</t>
  </si>
  <si>
    <t xml:space="preserve">Edit all fields including price and stock; success feedback.</t>
  </si>
  <si>
    <t xml:space="preserve">SEL-03, SEL-06</t>
  </si>
  <si>
    <t xml:space="preserve">FE-086</t>
  </si>
  <si>
    <t xml:space="preserve">Delete product</t>
  </si>
  <si>
    <t xml:space="preserve">Confirm dialog; product removed from lists (soft delete).</t>
  </si>
  <si>
    <t xml:space="preserve">SEL-04</t>
  </si>
  <si>
    <t xml:space="preserve">FE-087</t>
  </si>
  <si>
    <t xml:space="preserve">Availability toggle</t>
  </si>
  <si>
    <t xml:space="preserve">Manual on/off; auto “Out of Stock” when quantity is 0.</t>
  </si>
  <si>
    <t xml:space="preserve">SEL-07</t>
  </si>
  <si>
    <t xml:space="preserve">FE-088</t>
  </si>
  <si>
    <t xml:space="preserve">Inventory page</t>
  </si>
  <si>
    <t xml:space="preserve">Current stock, unit, price, availability, last updated; quick inline stock update.</t>
  </si>
  <si>
    <t xml:space="preserve">SEL-08</t>
  </si>
  <si>
    <t xml:space="preserve">FE-089</t>
  </si>
  <si>
    <t xml:space="preserve">Low-stock indicator</t>
  </si>
  <si>
    <t xml:space="preserve">Highlight items at or below threshold (default 5).</t>
  </si>
  <si>
    <t xml:space="preserve">SEL-09</t>
  </si>
  <si>
    <t xml:space="preserve">FE-090</t>
  </si>
  <si>
    <t xml:space="preserve">Seller orders list</t>
  </si>
  <si>
    <t xml:space="preserve">Only own orders; filter by status and date.</t>
  </si>
  <si>
    <t xml:space="preserve">SEL-10</t>
  </si>
  <si>
    <t xml:space="preserve">FE-091</t>
  </si>
  <si>
    <t xml:space="preserve">Seller order detail</t>
  </si>
  <si>
    <t xml:space="preserve">Items, buyer name/phone, delivery details.</t>
  </si>
  <si>
    <t xml:space="preserve">FE-092</t>
  </si>
  <si>
    <t xml:space="preserve">Order status controls</t>
  </si>
  <si>
    <t xml:space="preserve">Only valid next steps offered; cancel requires a reason.</t>
  </si>
  <si>
    <t xml:space="preserve">SEL-11, ORD-05, ORD-07</t>
  </si>
  <si>
    <t xml:space="preserve">FE-093</t>
  </si>
  <si>
    <t xml:space="preserve">Sales page</t>
  </si>
  <si>
    <t xml:space="preserve">Period selector; total sales (Completed), order count, products sold, recent orders.</t>
  </si>
  <si>
    <t xml:space="preserve">SEL-12</t>
  </si>
  <si>
    <t xml:space="preserve">FE-094</t>
  </si>
  <si>
    <t xml:space="preserve">Seller profile edit</t>
  </si>
  <si>
    <t xml:space="preserve">Edit business name, location, description, phone.</t>
  </si>
  <si>
    <t xml:space="preserve">FE-095</t>
  </si>
  <si>
    <t xml:space="preserve">8. Admin Dashboard</t>
  </si>
  <si>
    <t xml:space="preserve">Admin layout and navigation</t>
  </si>
  <si>
    <t xml:space="preserve">Sections: Overview, Users, Sellers, Products, Categories, Orders, Settings (+ Audit log).</t>
  </si>
  <si>
    <t xml:space="preserve">ADM-01</t>
  </si>
  <si>
    <t xml:space="preserve">FE-096</t>
  </si>
  <si>
    <t xml:space="preserve">Admin overview</t>
  </si>
  <si>
    <t xml:space="preserve">Counts of users, sellers, products, orders and total sales.</t>
  </si>
  <si>
    <t xml:space="preserve">ADM-10</t>
  </si>
  <si>
    <t xml:space="preserve">FE-097</t>
  </si>
  <si>
    <t xml:space="preserve">Users management page</t>
  </si>
  <si>
    <t xml:space="preserve">List, search, view, deactivate/reactivate.</t>
  </si>
  <si>
    <t xml:space="preserve">ADM-02</t>
  </si>
  <si>
    <t xml:space="preserve">FE-098</t>
  </si>
  <si>
    <t xml:space="preserve">Sellers management page</t>
  </si>
  <si>
    <t xml:space="preserve">Filter by Pending; approve, reject (with reason), suspend, reactivate.</t>
  </si>
  <si>
    <t xml:space="preserve">ADM-03</t>
  </si>
  <si>
    <t xml:space="preserve">FE-099</t>
  </si>
  <si>
    <t xml:space="preserve">Products moderation page</t>
  </si>
  <si>
    <t xml:space="preserve">View all products; unpublish/remove violating listings.</t>
  </si>
  <si>
    <t xml:space="preserve">ADM-04</t>
  </si>
  <si>
    <t xml:space="preserve">FE-100</t>
  </si>
  <si>
    <t xml:space="preserve">Categories management page</t>
  </si>
  <si>
    <t xml:space="preserve">Create, edit, deactivate; delete only if unused (show blocked message).</t>
  </si>
  <si>
    <t xml:space="preserve">ADM-05</t>
  </si>
  <si>
    <t xml:space="preserve">FE-101</t>
  </si>
  <si>
    <t xml:space="preserve">Orders monitoring page</t>
  </si>
  <si>
    <t xml:space="preserve">Search by number, buyer, seller, status, date; detail view.</t>
  </si>
  <si>
    <t xml:space="preserve">ADM-06</t>
  </si>
  <si>
    <t xml:space="preserve">FE-102</t>
  </si>
  <si>
    <t xml:space="preserve">Order status override</t>
  </si>
  <si>
    <t xml:space="preserve">Admin-only override with mandatory reason.</t>
  </si>
  <si>
    <t xml:space="preserve">ADM-07</t>
  </si>
  <si>
    <t xml:space="preserve">FE-103</t>
  </si>
  <si>
    <t xml:space="preserve">Marketplace settings page</t>
  </si>
  <si>
    <t xml:space="preserve">Edit site name, contact details, support text, footer content.</t>
  </si>
  <si>
    <t xml:space="preserve">ADM-08</t>
  </si>
  <si>
    <t xml:space="preserve">FE-104</t>
  </si>
  <si>
    <t xml:space="preserve">Audit log page</t>
  </si>
  <si>
    <t xml:space="preserve">Filter by user, action and date; paginated.</t>
  </si>
  <si>
    <t xml:space="preserve">ADM-09</t>
  </si>
  <si>
    <t xml:space="preserve">FE-105</t>
  </si>
  <si>
    <t xml:space="preserve">9. API Integration</t>
  </si>
  <si>
    <t xml:space="preserve">Integrate authService with API</t>
  </si>
  <si>
    <t xml:space="preserve">Register, login, logout, profile, password reset against Laravel; mock switch off.</t>
  </si>
  <si>
    <t xml:space="preserve">Section 4.4</t>
  </si>
  <si>
    <t xml:space="preserve">FE-106</t>
  </si>
  <si>
    <t xml:space="preserve">Integrate product and category services</t>
  </si>
  <si>
    <t xml:space="preserve">List with query params, detail, seller product CRUD, image upload, stock update.</t>
  </si>
  <si>
    <t xml:space="preserve">FE-107</t>
  </si>
  <si>
    <t xml:space="preserve">Integrate orderService</t>
  </si>
  <si>
    <t xml:space="preserve">Create order(s), list/detail scoped by role, status change, cancel, cart validate.</t>
  </si>
  <si>
    <t xml:space="preserve">FE-108</t>
  </si>
  <si>
    <t xml:space="preserve">Integrate seller and admin services</t>
  </si>
  <si>
    <t xml:space="preserve">Dashboard stats, seller/user status, settings, audit logs.</t>
  </si>
  <si>
    <t xml:space="preserve">FE-109</t>
  </si>
  <si>
    <t xml:space="preserve">Token handling and CORS/env setup</t>
  </si>
  <si>
    <t xml:space="preserve">Agree token storage with backend (HttpOnly cookie preferred); configure staging/production origins.</t>
  </si>
  <si>
    <t xml:space="preserve">NFR-SEC-03, NFR-SEC-10</t>
  </si>
  <si>
    <t xml:space="preserve">FE-110</t>
  </si>
  <si>
    <t xml:space="preserve">Verify mock data vs OpenAPI schema</t>
  </si>
  <si>
    <t xml:space="preserve">Automated check that mock shapes equal API responses; fix drift.</t>
  </si>
  <si>
    <t xml:space="preserve">FE-111</t>
  </si>
  <si>
    <t xml:space="preserve">Retry and offline error handling</t>
  </si>
  <si>
    <t xml:space="preserve">API unreachable shows friendly message with retry; cart never lost.</t>
  </si>
  <si>
    <t xml:space="preserve">NFR-REL-05, MKT-10</t>
  </si>
  <si>
    <t xml:space="preserve">FE-112</t>
  </si>
  <si>
    <t xml:space="preserve">10. Testing, Quality &amp; Release</t>
  </si>
  <si>
    <t xml:space="preserve">Unit tests: cart, validation, utilities</t>
  </si>
  <si>
    <t xml:space="preserve">≥ 70% line coverage on business-logic modules.</t>
  </si>
  <si>
    <t xml:space="preserve">FE-113</t>
  </si>
  <si>
    <t xml:space="preserve">Component tests for key components</t>
  </si>
  <si>
    <t xml:space="preserve">ProductCard, filters, quantity selector, forms.</t>
  </si>
  <si>
    <t xml:space="preserve">Section 8.1</t>
  </si>
  <si>
    <t xml:space="preserve">FE-114</t>
  </si>
  <si>
    <t xml:space="preserve">E2E: buyer purchase journey</t>
  </si>
  <si>
    <t xml:space="preserve">Browse → cart → checkout → confirmation (TC-08 to TC-16).</t>
  </si>
  <si>
    <t xml:space="preserve">TC-08 to TC-16</t>
  </si>
  <si>
    <t xml:space="preserve">FE-115</t>
  </si>
  <si>
    <t xml:space="preserve">E2E: seller product and order flow</t>
  </si>
  <si>
    <t xml:space="preserve">Add/edit/delete product, process order (TC-19 to TC-24).</t>
  </si>
  <si>
    <t xml:space="preserve">TC-19 to TC-24</t>
  </si>
  <si>
    <t xml:space="preserve">FE-116</t>
  </si>
  <si>
    <t xml:space="preserve">E2E: admin approval flow</t>
  </si>
  <si>
    <t xml:space="preserve">Approve/suspend seller, category management (TC-29 to TC-31).</t>
  </si>
  <si>
    <t xml:space="preserve">TC-29 to TC-31</t>
  </si>
  <si>
    <t xml:space="preserve">FE-117</t>
  </si>
  <si>
    <t xml:space="preserve">Role access checks in the UI</t>
  </si>
  <si>
    <t xml:space="preserve">Buyer cannot open /seller or /admin (TC-28).</t>
  </si>
  <si>
    <t xml:space="preserve">TC-28, AUTH-07</t>
  </si>
  <si>
    <t xml:space="preserve">FE-118</t>
  </si>
  <si>
    <t xml:space="preserve">Responsive QA 360–1920 px</t>
  </si>
  <si>
    <t xml:space="preserve">No horizontal scroll; all actions usable (TC-33).</t>
  </si>
  <si>
    <t xml:space="preserve">NFR-COMP-02, TC-33</t>
  </si>
  <si>
    <t xml:space="preserve">FE-119</t>
  </si>
  <si>
    <t xml:space="preserve">Cross-browser and device testing</t>
  </si>
  <si>
    <t xml:space="preserve">Latest two versions of Chrome, Edge, Firefox, Safari, Chrome Android, Samsung Internet.</t>
  </si>
  <si>
    <t xml:space="preserve">NFR-COMP-01</t>
  </si>
  <si>
    <t xml:space="preserve">FE-120</t>
  </si>
  <si>
    <t xml:space="preserve">Accessibility audit</t>
  </si>
  <si>
    <t xml:space="preserve">WCAG 2.1 AA: contrast, keyboard use, focus, labels, alt text.</t>
  </si>
  <si>
    <t xml:space="preserve">NFR-USAB-02</t>
  </si>
  <si>
    <t xml:space="preserve">FE-121</t>
  </si>
  <si>
    <t xml:space="preserve">Performance audit</t>
  </si>
  <si>
    <t xml:space="preserve">LCP ≤ 2.5 s on simulated 4G; bundle ≤ 250 KB; images resized and lazy-loaded.</t>
  </si>
  <si>
    <t xml:space="preserve">NFR-PERF-01, NFR-PERF-03</t>
  </si>
  <si>
    <t xml:space="preserve">FE-122</t>
  </si>
  <si>
    <t xml:space="preserve">Front-end security review</t>
  </si>
  <si>
    <t xml:space="preserve">No secrets in bundle, XSS-safe rendering, dependency audit (npm audit) clean.</t>
  </si>
  <si>
    <t xml:space="preserve">NFR-SEC-06, NFR-SEC-13</t>
  </si>
  <si>
    <t xml:space="preserve">FE-123</t>
  </si>
  <si>
    <t xml:space="preserve">Usability test with buyers</t>
  </si>
  <si>
    <t xml:space="preserve">≥ 5 first-time buyers; ≥ 80% complete an order unassisted.</t>
  </si>
  <si>
    <t xml:space="preserve">NFR-USAB-01</t>
  </si>
  <si>
    <t xml:space="preserve">FE-124</t>
  </si>
  <si>
    <t xml:space="preserve">Production build and deployment</t>
  </si>
  <si>
    <t xml:space="preserve">Deploy React build to static/CDN host from CI with production env settings.</t>
  </si>
  <si>
    <t xml:space="preserve">Source §43</t>
  </si>
  <si>
    <t xml:space="preserve">FE-125</t>
  </si>
  <si>
    <t xml:space="preserve">README and developer documentation</t>
  </si>
  <si>
    <t xml:space="preserve">Setup, env variables, folder structure, mock/API switch, coding standards.</t>
  </si>
  <si>
    <t xml:space="preserve">NFR-MAIN-01</t>
  </si>
  <si>
    <t xml:space="preserve">Vegetable Joint — Frontend Progress Summary</t>
  </si>
  <si>
    <t xml:space="preserve">All figures update automatically from the “Frontend Tasks” sheet (rows 2–500).</t>
  </si>
  <si>
    <t xml:space="preserve">Overall</t>
  </si>
  <si>
    <t xml:space="preserve">Count</t>
  </si>
  <si>
    <t xml:space="preserve">Total tasks</t>
  </si>
  <si>
    <t xml:space="preserve">Done</t>
  </si>
  <si>
    <t xml:space="preserve">In Review</t>
  </si>
  <si>
    <t xml:space="preserve">In Progress</t>
  </si>
  <si>
    <t xml:space="preserve">Blocked</t>
  </si>
  <si>
    <t xml:space="preserve">% complete</t>
  </si>
  <si>
    <t xml:space="preserve">Total</t>
  </si>
  <si>
    <t xml:space="preserve">% Done</t>
  </si>
  <si>
    <t xml:space="preserve">Done by person</t>
  </si>
  <si>
    <t xml:space="preserve">Type each team member’s name exactly as used in the “Done By” column (yellow cells).</t>
  </si>
  <si>
    <t xml:space="preserve">Team member</t>
  </si>
  <si>
    <t xml:space="preserve">Tasks done</t>
  </si>
  <si>
    <t xml:space="preserve">Done but no name in “Done By”</t>
  </si>
  <si>
    <t xml:space="preserve">Should be 0 — such rows are highlighted red in the task sheet.</t>
  </si>
  <si>
    <t xml:space="preserve">How to use this tracker</t>
  </si>
  <si>
    <t xml:space="preserve">Purpose</t>
  </si>
  <si>
    <t xml:space="preserve">Tracks every frontend (React) task for Vegetable Joint, derived from SRS v1.0. Each task links to the SRS requirement(s) it satisfies.</t>
  </si>
  <si>
    <t xml:space="preserve">What you edit</t>
  </si>
  <si>
    <t xml:space="preserve">Only these columns: Status, Done By, Date Done, Notes. Task/Details/SRS Ref/Priority can be edited by the project lead if scope changes.</t>
  </si>
  <si>
    <t xml:space="preserve">Status values</t>
  </si>
  <si>
    <t xml:space="preserve">Not Started · In Progress · In Review · Done · Blocked (dropdown).</t>
  </si>
  <si>
    <t xml:space="preserve">Must = required for Release 1.0. Should = target for 1.0. Could = may move later (as defined in SRS section 1.2).</t>
  </si>
  <si>
    <t xml:space="preserve">Type the name of the person who completed the task (e.g. “Amaka O.”). Use the same spelling every time so the Summary sheet can count it.</t>
  </si>
  <si>
    <t xml:space="preserve">Enter the date the task was completed in yyyy-mm-dd format (e.g. 2026-09-25).</t>
  </si>
  <si>
    <t xml:space="preserve">Example (not a real entry)</t>
  </si>
  <si>
    <t xml:space="preserve">Task FE-014 “Cart context with persistence” → Status: Done · Done By: Amaka O. · Date Done: 2026-09-25 · Notes: Tested on refresh and browser restart.</t>
  </si>
  <si>
    <t xml:space="preserve">Colour cues</t>
  </si>
  <si>
    <t xml:space="preserve">Green = Done, amber = In Progress, blue = In Review, red = Blocked. A red “Done By” cell means the task is Done but nobody is named.</t>
  </si>
  <si>
    <t xml:space="preserve">Adding tasks</t>
  </si>
  <si>
    <t xml:space="preserve">Insert new rows inside the table (before the last row) and copy formatting from a row above; Summary formulas cover rows 2–500. Use the next free Task ID.</t>
  </si>
  <si>
    <t xml:space="preserve">Starting status</t>
  </si>
  <si>
    <t xml:space="preserve">All tasks start as “Not Started”. The concept document does not record what is already built (a React prototype with mock data exists), so please update Status for work already completed.</t>
  </si>
  <si>
    <t xml:space="preserve">Assumptions</t>
  </si>
  <si>
    <t xml:space="preserve">Priorities and SRS references come from SRS v1.0. Estimates and assignees are intentionally left out; add columns if your team wants them.</t>
  </si>
  <si>
    <t xml:space="preserve">Use in Google Sheets</t>
  </si>
  <si>
    <t xml:space="preserve">Google Drive → New → File upload → open this file with Google Sheets (or File → Import). Dropdowns, filters and colours carry over.</t>
  </si>
</sst>
</file>

<file path=xl/styles.xml><?xml version="1.0" encoding="utf-8"?>
<styleSheet xmlns="http://schemas.openxmlformats.org/spreadsheetml/2006/main">
  <numFmts count="5">
    <numFmt numFmtId="164" formatCode="General"/>
    <numFmt numFmtId="165" formatCode="yyyy\-mm\-dd"/>
    <numFmt numFmtId="166" formatCode="General"/>
    <numFmt numFmtId="167" formatCode="0.0%"/>
    <numFmt numFmtId="168" formatCode="0%"/>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b val="true"/>
      <sz val="15"/>
      <color rgb="FF1F6B3A"/>
      <name val="Arial"/>
      <family val="0"/>
      <charset val="1"/>
    </font>
    <font>
      <i val="true"/>
      <sz val="9"/>
      <color rgb="FF666666"/>
      <name val="Arial"/>
      <family val="0"/>
      <charset val="1"/>
    </font>
    <font>
      <b val="true"/>
      <sz val="12"/>
      <color rgb="FF1F6B3A"/>
      <name val="Arial"/>
      <family val="0"/>
      <charset val="1"/>
    </font>
    <font>
      <sz val="10"/>
      <color rgb="FF0000FF"/>
      <name val="Arial"/>
      <family val="0"/>
      <charset val="1"/>
    </font>
    <font>
      <b val="true"/>
      <sz val="14"/>
      <color rgb="FF1F6B3A"/>
      <name val="Arial"/>
      <family val="0"/>
      <charset val="1"/>
    </font>
  </fonts>
  <fills count="6">
    <fill>
      <patternFill patternType="none"/>
    </fill>
    <fill>
      <patternFill patternType="gray125"/>
    </fill>
    <fill>
      <patternFill patternType="solid">
        <fgColor rgb="FF1F6B3A"/>
        <bgColor rgb="FF1B5E20"/>
      </patternFill>
    </fill>
    <fill>
      <patternFill patternType="solid">
        <fgColor rgb="FFE8F3EC"/>
        <bgColor rgb="FFDCE8FA"/>
      </patternFill>
    </fill>
    <fill>
      <patternFill patternType="solid">
        <fgColor rgb="FFFFFFFF"/>
        <bgColor rgb="FFFFF4D6"/>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8" fontId="6"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6B3A"/>
          <bgColor rgb="FF000000"/>
        </patternFill>
      </fill>
    </dxf>
    <dxf>
      <fill>
        <patternFill patternType="solid">
          <fgColor rgb="FFE8F3EC"/>
          <bgColor rgb="FF000000"/>
        </patternFill>
      </fill>
    </dxf>
    <dxf>
      <fill>
        <patternFill patternType="solid">
          <fgColor rgb="FFFFFFFF"/>
          <bgColor rgb="FF000000"/>
        </patternFill>
      </fill>
    </dxf>
    <dxf>
      <fill>
        <patternFill patternType="solid">
          <bgColor rgb="FF000000"/>
        </patternFill>
      </fill>
    </dxf>
    <dxf>
      <font>
        <name val="Arial"/>
        <charset val="1"/>
        <family val="0"/>
        <b val="1"/>
        <color rgb="FF1B5E20"/>
      </font>
      <fill>
        <patternFill>
          <bgColor rgb="FFC9E6D2"/>
        </patternFill>
      </fill>
    </dxf>
    <dxf>
      <fill>
        <patternFill>
          <bgColor rgb="FFFFF4D6"/>
        </patternFill>
      </fill>
    </dxf>
    <dxf>
      <fill>
        <patternFill>
          <bgColor rgb="FFDCE8FA"/>
        </patternFill>
      </fill>
    </dxf>
    <dxf>
      <font>
        <name val="Arial"/>
        <charset val="1"/>
        <family val="0"/>
        <b val="1"/>
        <color rgb="FFB71C1C"/>
      </font>
      <fill>
        <patternFill>
          <bgColor rgb="FFF6D5D5"/>
        </patternFill>
      </fill>
    </dxf>
    <dxf>
      <fill>
        <patternFill>
          <bgColor rgb="FFF6D5D5"/>
        </patternFill>
      </fill>
    </dxf>
  </dxfs>
  <colors>
    <indexedColors>
      <rgbColor rgb="FF000000"/>
      <rgbColor rgb="FFFFFFFF"/>
      <rgbColor rgb="FFFF0000"/>
      <rgbColor rgb="FF00FF00"/>
      <rgbColor rgb="FF0000FF"/>
      <rgbColor rgb="FFFFFF00"/>
      <rgbColor rgb="FFFF00FF"/>
      <rgbColor rgb="FF00FFFF"/>
      <rgbColor rgb="FF800000"/>
      <rgbColor rgb="FF1F6B3A"/>
      <rgbColor rgb="FF000080"/>
      <rgbColor rgb="FF808000"/>
      <rgbColor rgb="FF800080"/>
      <rgbColor rgb="FF008080"/>
      <rgbColor rgb="FFBFBFBF"/>
      <rgbColor rgb="FF808080"/>
      <rgbColor rgb="FF9999FF"/>
      <rgbColor rgb="FF993366"/>
      <rgbColor rgb="FFFFF4D6"/>
      <rgbColor rgb="FFE8F3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8FA"/>
      <rgbColor rgb="FFC9E6D2"/>
      <rgbColor rgb="FFFFFF99"/>
      <rgbColor rgb="FF99CCFF"/>
      <rgbColor rgb="FFFF99CC"/>
      <rgbColor rgb="FFCC99FF"/>
      <rgbColor rgb="FFF6D5D5"/>
      <rgbColor rgb="FF3366FF"/>
      <rgbColor rgb="FF33CCCC"/>
      <rgbColor rgb="FF99CC00"/>
      <rgbColor rgb="FFFFCC00"/>
      <rgbColor rgb="FFFF9900"/>
      <rgbColor rgb="FFFF6600"/>
      <rgbColor rgb="FF666666"/>
      <rgbColor rgb="FF969696"/>
      <rgbColor rgb="FF003366"/>
      <rgbColor rgb="FF339966"/>
      <rgbColor rgb="FF003300"/>
      <rgbColor rgb="FF333300"/>
      <rgbColor rgb="FFB71C1C"/>
      <rgbColor rgb="FF993366"/>
      <rgbColor rgb="FF333399"/>
      <rgbColor rgb="FF1B5E2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J1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34"/>
    <col collapsed="false" customWidth="true" hidden="false" outlineLevel="0" max="4" min="4" style="0" width="62"/>
    <col collapsed="false" customWidth="true" hidden="false" outlineLevel="0" max="5" min="5" style="0" width="24"/>
    <col collapsed="false" customWidth="true" hidden="false" outlineLevel="0" max="6" min="6" style="0" width="10"/>
    <col collapsed="false" customWidth="true" hidden="false" outlineLevel="0" max="7" min="7" style="0" width="14"/>
    <col collapsed="false" customWidth="true" hidden="false" outlineLevel="0" max="8" min="8" style="0" width="18"/>
    <col collapsed="false" customWidth="true" hidden="false" outlineLevel="0" max="9" min="9" style="0" width="13"/>
    <col collapsed="false" customWidth="true" hidden="false" outlineLevel="0" max="10" min="10" style="0" width="30"/>
  </cols>
  <sheetData>
    <row r="1" customFormat="false" ht="25.5" hidden="false" customHeight="true" outlineLevel="0" collapsed="false">
      <c r="A1" s="1" t="s">
        <v>0</v>
      </c>
      <c r="B1" s="1" t="s">
        <v>1</v>
      </c>
      <c r="C1" s="1" t="s">
        <v>2</v>
      </c>
      <c r="D1" s="1" t="s">
        <v>3</v>
      </c>
      <c r="E1" s="1" t="s">
        <v>4</v>
      </c>
      <c r="F1" s="1" t="s">
        <v>5</v>
      </c>
      <c r="G1" s="1" t="s">
        <v>6</v>
      </c>
      <c r="H1" s="1" t="s">
        <v>7</v>
      </c>
      <c r="I1" s="1" t="s">
        <v>8</v>
      </c>
      <c r="J1" s="1" t="s">
        <v>9</v>
      </c>
    </row>
    <row r="2" customFormat="false" ht="23.85" hidden="false" customHeight="false" outlineLevel="0" collapsed="false">
      <c r="A2" s="2" t="s">
        <v>10</v>
      </c>
      <c r="B2" s="3" t="s">
        <v>11</v>
      </c>
      <c r="C2" s="4" t="s">
        <v>12</v>
      </c>
      <c r="D2" s="5" t="s">
        <v>13</v>
      </c>
      <c r="E2" s="5" t="s">
        <v>14</v>
      </c>
      <c r="F2" s="6" t="s">
        <v>15</v>
      </c>
      <c r="G2" s="6" t="s">
        <v>519</v>
      </c>
      <c r="H2" s="5" t="inlineStr">
        <is>
          <t>aminullah-01</t>
        </is>
      </c>
      <c r="I2" s="7" t="inlineStr">
        <is>
          <t>2026-09-22</t>
        </is>
      </c>
      <c r="J2" s="5" t="inlineStr">
        <is>
          <t>Vite + React app initialised with modular folder structure. npm run dev and build verified.</t>
        </is>
      </c>
    </row>
    <row r="3" customFormat="false" ht="23.85" hidden="false" customHeight="false" outlineLevel="0" collapsed="false">
      <c r="A3" s="2" t="s">
        <v>17</v>
      </c>
      <c r="B3" s="3" t="s">
        <v>11</v>
      </c>
      <c r="C3" s="4" t="s">
        <v>18</v>
      </c>
      <c r="D3" s="5" t="s">
        <v>19</v>
      </c>
      <c r="E3" s="5" t="s">
        <v>20</v>
      </c>
      <c r="F3" s="6" t="s">
        <v>21</v>
      </c>
      <c r="G3" s="6" t="s">
        <v>519</v>
      </c>
      <c r="H3" s="5" t="inlineStr">
        <is>
          <t>aminullah-01</t>
        </is>
      </c>
      <c r="I3" s="7" t="inlineStr">
        <is>
          <t>2026-09-25</t>
        </is>
      </c>
      <c r="J3" s="5" t="inlineStr">
        <is>
          <t>Configured ESLint 9, Prettier, lint-staged, and Husky pre-commit hook. Verified pre-commit blocks lint failures and scripts pass.</t>
        </is>
      </c>
    </row>
    <row r="4" customFormat="false" ht="23.85" hidden="false" customHeight="false" outlineLevel="0" collapsed="false">
      <c r="A4" s="2" t="s">
        <v>22</v>
      </c>
      <c r="B4" s="3" t="s">
        <v>11</v>
      </c>
      <c r="C4" s="4" t="s">
        <v>23</v>
      </c>
      <c r="D4" s="5" t="s">
        <v>24</v>
      </c>
      <c r="E4" s="5" t="s">
        <v>25</v>
      </c>
      <c r="F4" s="6" t="s">
        <v>15</v>
      </c>
      <c r="G4" s="6" t="s">
        <v>519</v>
      </c>
      <c r="H4" s="5" t="inlineStr">
        <is>
          <t>aminullah-01</t>
        </is>
      </c>
      <c r="I4" s="7" t="inlineStr">
        <is>
          <t>2026-09-25</t>
        </is>
      </c>
      <c r="J4" s="5" t="inlineStr">
        <is>
          <t>Created .env.example and .env with VITE_API_BASE_URL and VITE_USE_MOCK_DATA switch. Verified .env is gitignored and src/utils/env.js works.</t>
        </is>
      </c>
    </row>
    <row r="5" customFormat="false" ht="23.85" hidden="false" customHeight="false" outlineLevel="0" collapsed="false">
      <c r="A5" s="2" t="s">
        <v>26</v>
      </c>
      <c r="B5" s="3" t="s">
        <v>11</v>
      </c>
      <c r="C5" s="4" t="s">
        <v>27</v>
      </c>
      <c r="D5" s="5" t="s">
        <v>28</v>
      </c>
      <c r="E5" s="5" t="s">
        <v>29</v>
      </c>
      <c r="F5" s="6" t="s">
        <v>15</v>
      </c>
      <c r="G5" s="6" t="s">
        <v>519</v>
      </c>
      <c r="H5" s="5" t="inlineStr">
        <is>
          <t>aminullah-01</t>
        </is>
      </c>
      <c r="I5" s="7" t="inlineStr">
        <is>
          <t>2026-09-27</t>
        </is>
      </c>
      <c r="J5" s="5" t="inlineStr">
        <is>
          <t>Implemented React Router route map for all public, buyer, seller, admin and error routes matching SRS 4.1.2 with layout shells.</t>
        </is>
      </c>
    </row>
    <row r="6" customFormat="false" ht="23.85" hidden="false" customHeight="false" outlineLevel="0" collapsed="false">
      <c r="A6" s="2" t="s">
        <v>30</v>
      </c>
      <c r="B6" s="3" t="s">
        <v>11</v>
      </c>
      <c r="C6" s="4" t="s">
        <v>31</v>
      </c>
      <c r="D6" s="5" t="s">
        <v>32</v>
      </c>
      <c r="E6" s="5" t="s">
        <v>33</v>
      </c>
      <c r="F6" s="6" t="s">
        <v>15</v>
      </c>
      <c r="G6" s="6" t="s">
        <v>519</v>
      </c>
      <c r="H6" s="5" t="inlineStr">
        <is>
          <t>aminullah-01</t>
        </is>
      </c>
      <c r="I6" s="7" t="inlineStr">
        <is>
          <t>2026-09-27</t>
        </is>
      </c>
      <c r="J6" s="5" t="inlineStr">
        <is>
          <t>Defined design tokens in src/utils/tokens.js and CSS custom properties in src/index.css for colours, typography, 8px spacing, and 360-1920px breakpoints.</t>
        </is>
      </c>
    </row>
    <row r="7" customFormat="false" ht="23.85" hidden="false" customHeight="false" outlineLevel="0" collapsed="false">
      <c r="A7" s="2" t="s">
        <v>34</v>
      </c>
      <c r="B7" s="3" t="s">
        <v>11</v>
      </c>
      <c r="C7" s="4" t="s">
        <v>35</v>
      </c>
      <c r="D7" s="5" t="s">
        <v>36</v>
      </c>
      <c r="E7" s="5" t="s">
        <v>37</v>
      </c>
      <c r="F7" s="6" t="s">
        <v>15</v>
      </c>
      <c r="G7" s="6" t="s">
        <v>519</v>
      </c>
      <c r="H7" s="5" t="inlineStr">
        <is>
          <t>aminullah-01</t>
        </is>
      </c>
      <c r="I7" s="7" t="inlineStr">
        <is>
          <t>2026-09-27</t>
        </is>
      </c>
      <c r="J7" s="5" t="inlineStr">
        <is>
          <t>Implemented responsive layout shells (MainLayout with hamburger drawer, DashboardLayout with off-canvas sidebar), table-responsive wrappers, and 360-1920px overflow protections.</t>
        </is>
      </c>
    </row>
    <row r="8" customFormat="false" ht="23.85" hidden="false" customHeight="false" outlineLevel="0" collapsed="false">
      <c r="A8" s="2" t="s">
        <v>38</v>
      </c>
      <c r="B8" s="3" t="s">
        <v>11</v>
      </c>
      <c r="C8" s="4" t="s">
        <v>39</v>
      </c>
      <c r="D8" s="5" t="s">
        <v>40</v>
      </c>
      <c r="E8" s="5" t="s">
        <v>41</v>
      </c>
      <c r="F8" s="6" t="s">
        <v>15</v>
      </c>
      <c r="G8" s="6" t="s">
        <v>519</v>
      </c>
      <c r="H8" s="5" t="inlineStr">
        <is>
          <t>aminullah-01</t>
        </is>
      </c>
      <c r="I8" s="7" t="inlineStr">
        <is>
          <t>2026-09-27</t>
        </is>
      </c>
      <c r="J8" s="5" t="inlineStr">
        <is>
          <t>Created formatters in src/utils/formatters.js: formatCurrency, formatPrice (₦2,500 / basket), formatDate/formatDateTime (Africa/Lagos WAT), and toUtcIso.</t>
        </is>
      </c>
    </row>
    <row r="9" customFormat="false" ht="23.85" hidden="false" customHeight="false" outlineLevel="0" collapsed="false">
      <c r="A9" s="2" t="s">
        <v>42</v>
      </c>
      <c r="B9" s="3" t="s">
        <v>11</v>
      </c>
      <c r="C9" s="4" t="s">
        <v>43</v>
      </c>
      <c r="D9" s="5" t="s">
        <v>44</v>
      </c>
      <c r="E9" s="5" t="s">
        <v>45</v>
      </c>
      <c r="F9" s="6" t="s">
        <v>21</v>
      </c>
      <c r="G9" s="6" t="s">
        <v>519</v>
      </c>
      <c r="H9" s="5"/>
      <c r="I9" s="7"/>
      <c r="J9" s="5"/>
    </row>
    <row r="10" customFormat="false" ht="23.85" hidden="false" customHeight="false" outlineLevel="0" collapsed="false">
      <c r="A10" s="2" t="s">
        <v>46</v>
      </c>
      <c r="B10" s="3" t="s">
        <v>11</v>
      </c>
      <c r="C10" s="4" t="s">
        <v>47</v>
      </c>
      <c r="D10" s="5" t="s">
        <v>48</v>
      </c>
      <c r="E10" s="5" t="s">
        <v>49</v>
      </c>
      <c r="F10" s="6" t="s">
        <v>15</v>
      </c>
      <c r="G10" s="6" t="s">
        <v>519</v>
      </c>
      <c r="H10" s="5"/>
      <c r="I10" s="7"/>
      <c r="J10" s="5"/>
    </row>
    <row r="11" customFormat="false" ht="23.85" hidden="false" customHeight="false" outlineLevel="0" collapsed="false">
      <c r="A11" s="2" t="s">
        <v>50</v>
      </c>
      <c r="B11" s="3" t="s">
        <v>11</v>
      </c>
      <c r="C11" s="4" t="s">
        <v>51</v>
      </c>
      <c r="D11" s="5" t="s">
        <v>52</v>
      </c>
      <c r="E11" s="5" t="s">
        <v>53</v>
      </c>
      <c r="F11" s="6" t="s">
        <v>15</v>
      </c>
      <c r="G11" s="6" t="s">
        <v>519</v>
      </c>
      <c r="H11" s="5"/>
      <c r="I11" s="7"/>
      <c r="J11" s="5"/>
    </row>
    <row r="12" customFormat="false" ht="23.85" hidden="false" customHeight="false" outlineLevel="0" collapsed="false">
      <c r="A12" s="2" t="s">
        <v>54</v>
      </c>
      <c r="B12" s="3" t="s">
        <v>11</v>
      </c>
      <c r="C12" s="4" t="s">
        <v>55</v>
      </c>
      <c r="D12" s="5" t="s">
        <v>56</v>
      </c>
      <c r="E12" s="5" t="s">
        <v>57</v>
      </c>
      <c r="F12" s="6" t="s">
        <v>15</v>
      </c>
      <c r="G12" s="6" t="s">
        <v>519</v>
      </c>
      <c r="H12" s="5"/>
      <c r="I12" s="7"/>
      <c r="J12" s="5"/>
    </row>
    <row r="13" customFormat="false" ht="23.85" hidden="false" customHeight="false" outlineLevel="0" collapsed="false">
      <c r="A13" s="2" t="s">
        <v>58</v>
      </c>
      <c r="B13" s="3" t="s">
        <v>11</v>
      </c>
      <c r="C13" s="4" t="s">
        <v>59</v>
      </c>
      <c r="D13" s="5" t="s">
        <v>60</v>
      </c>
      <c r="E13" s="5" t="s">
        <v>61</v>
      </c>
      <c r="F13" s="6" t="s">
        <v>15</v>
      </c>
      <c r="G13" s="6" t="s">
        <v>519</v>
      </c>
      <c r="H13" s="5"/>
      <c r="I13" s="7"/>
      <c r="J13" s="5"/>
    </row>
    <row r="14" customFormat="false" ht="15" hidden="false" customHeight="false" outlineLevel="0" collapsed="false">
      <c r="A14" s="2" t="s">
        <v>62</v>
      </c>
      <c r="B14" s="3" t="s">
        <v>11</v>
      </c>
      <c r="C14" s="4" t="s">
        <v>63</v>
      </c>
      <c r="D14" s="5" t="s">
        <v>64</v>
      </c>
      <c r="E14" s="5" t="s">
        <v>65</v>
      </c>
      <c r="F14" s="6" t="s">
        <v>15</v>
      </c>
      <c r="G14" s="6" t="s">
        <v>519</v>
      </c>
      <c r="H14" s="5"/>
      <c r="I14" s="7"/>
      <c r="J14" s="5"/>
    </row>
    <row r="15" customFormat="false" ht="23.85" hidden="false" customHeight="false" outlineLevel="0" collapsed="false">
      <c r="A15" s="2" t="s">
        <v>66</v>
      </c>
      <c r="B15" s="3" t="s">
        <v>11</v>
      </c>
      <c r="C15" s="4" t="s">
        <v>67</v>
      </c>
      <c r="D15" s="5" t="s">
        <v>68</v>
      </c>
      <c r="E15" s="5" t="s">
        <v>69</v>
      </c>
      <c r="F15" s="6" t="s">
        <v>15</v>
      </c>
      <c r="G15" s="6" t="s">
        <v>519</v>
      </c>
      <c r="H15" s="5"/>
      <c r="I15" s="7"/>
      <c r="J15" s="5"/>
    </row>
    <row r="16" customFormat="false" ht="23.85" hidden="false" customHeight="false" outlineLevel="0" collapsed="false">
      <c r="A16" s="2" t="s">
        <v>70</v>
      </c>
      <c r="B16" s="3" t="s">
        <v>11</v>
      </c>
      <c r="C16" s="4" t="s">
        <v>71</v>
      </c>
      <c r="D16" s="5" t="s">
        <v>72</v>
      </c>
      <c r="E16" s="5" t="s">
        <v>73</v>
      </c>
      <c r="F16" s="6" t="s">
        <v>15</v>
      </c>
      <c r="G16" s="6" t="s">
        <v>519</v>
      </c>
      <c r="H16" s="5"/>
      <c r="I16" s="7"/>
      <c r="J16" s="5"/>
    </row>
    <row r="17" customFormat="false" ht="23.85" hidden="false" customHeight="false" outlineLevel="0" collapsed="false">
      <c r="A17" s="2" t="s">
        <v>74</v>
      </c>
      <c r="B17" s="3" t="s">
        <v>11</v>
      </c>
      <c r="C17" s="4" t="s">
        <v>75</v>
      </c>
      <c r="D17" s="5" t="s">
        <v>76</v>
      </c>
      <c r="E17" s="5" t="s">
        <v>77</v>
      </c>
      <c r="F17" s="6" t="s">
        <v>21</v>
      </c>
      <c r="G17" s="6" t="s">
        <v>519</v>
      </c>
      <c r="H17" s="5"/>
      <c r="I17" s="7"/>
      <c r="J17" s="5"/>
    </row>
    <row r="18" customFormat="false" ht="23.85" hidden="false" customHeight="false" outlineLevel="0" collapsed="false">
      <c r="A18" s="2" t="s">
        <v>78</v>
      </c>
      <c r="B18" s="3" t="s">
        <v>11</v>
      </c>
      <c r="C18" s="4" t="s">
        <v>79</v>
      </c>
      <c r="D18" s="5" t="s">
        <v>80</v>
      </c>
      <c r="E18" s="5" t="s">
        <v>81</v>
      </c>
      <c r="F18" s="6" t="s">
        <v>15</v>
      </c>
      <c r="G18" s="6" t="s">
        <v>519</v>
      </c>
      <c r="H18" s="5"/>
      <c r="I18" s="7"/>
      <c r="J18" s="5"/>
    </row>
    <row r="19" customFormat="false" ht="15" hidden="false" customHeight="false" outlineLevel="0" collapsed="false">
      <c r="A19" s="2" t="s">
        <v>82</v>
      </c>
      <c r="B19" s="3" t="s">
        <v>11</v>
      </c>
      <c r="C19" s="4" t="s">
        <v>83</v>
      </c>
      <c r="D19" s="5" t="s">
        <v>84</v>
      </c>
      <c r="E19" s="5" t="s">
        <v>85</v>
      </c>
      <c r="F19" s="6" t="s">
        <v>21</v>
      </c>
      <c r="G19" s="6" t="s">
        <v>519</v>
      </c>
      <c r="H19" s="5"/>
      <c r="I19" s="7"/>
      <c r="J19" s="5"/>
    </row>
    <row r="20" customFormat="false" ht="15" hidden="false" customHeight="false" outlineLevel="0" collapsed="false">
      <c r="A20" s="2" t="s">
        <v>86</v>
      </c>
      <c r="B20" s="3" t="s">
        <v>11</v>
      </c>
      <c r="C20" s="4" t="s">
        <v>87</v>
      </c>
      <c r="D20" s="5" t="s">
        <v>88</v>
      </c>
      <c r="E20" s="5" t="s">
        <v>89</v>
      </c>
      <c r="F20" s="6" t="s">
        <v>21</v>
      </c>
      <c r="G20" s="6" t="s">
        <v>519</v>
      </c>
      <c r="H20" s="5"/>
      <c r="I20" s="7"/>
      <c r="J20" s="5"/>
    </row>
    <row r="21" customFormat="false" ht="15" hidden="false" customHeight="false" outlineLevel="0" collapsed="false">
      <c r="A21" s="2" t="s">
        <v>90</v>
      </c>
      <c r="B21" s="3" t="s">
        <v>11</v>
      </c>
      <c r="C21" s="4" t="s">
        <v>91</v>
      </c>
      <c r="D21" s="5" t="s">
        <v>92</v>
      </c>
      <c r="E21" s="5" t="s">
        <v>93</v>
      </c>
      <c r="F21" s="6" t="s">
        <v>21</v>
      </c>
      <c r="G21" s="6" t="s">
        <v>519</v>
      </c>
      <c r="H21" s="5"/>
      <c r="I21" s="7"/>
      <c r="J21" s="5"/>
    </row>
    <row r="22" customFormat="false" ht="15" hidden="false" customHeight="false" outlineLevel="0" collapsed="false">
      <c r="A22" s="2" t="s">
        <v>94</v>
      </c>
      <c r="B22" s="3" t="s">
        <v>11</v>
      </c>
      <c r="C22" s="4" t="s">
        <v>95</v>
      </c>
      <c r="D22" s="5" t="s">
        <v>96</v>
      </c>
      <c r="E22" s="5" t="s">
        <v>97</v>
      </c>
      <c r="F22" s="6" t="s">
        <v>21</v>
      </c>
      <c r="G22" t="s">
        <v>519</v>
      </c>
      <c r="H22" s="5"/>
      <c r="I22" s="7"/>
      <c r="J22" s="5"/>
    </row>
    <row r="23" customFormat="false" ht="23.85" hidden="false" customHeight="false" outlineLevel="0" collapsed="false">
      <c r="A23" s="8" t="s">
        <v>98</v>
      </c>
      <c r="B23" s="9" t="s">
        <v>99</v>
      </c>
      <c r="C23" s="4" t="s">
        <v>100</v>
      </c>
      <c r="D23" s="5" t="s">
        <v>101</v>
      </c>
      <c r="E23" s="5" t="s">
        <v>102</v>
      </c>
      <c r="F23" s="6" t="s">
        <v>15</v>
      </c>
      <c r="G23" t="s">
        <v>519</v>
      </c>
      <c r="H23" s="5"/>
      <c r="I23" s="7"/>
      <c r="J23" s="5"/>
    </row>
    <row r="24" customFormat="false" ht="15" hidden="false" customHeight="false" outlineLevel="0" collapsed="false">
      <c r="A24" s="8" t="s">
        <v>103</v>
      </c>
      <c r="B24" s="9" t="s">
        <v>99</v>
      </c>
      <c r="C24" s="4" t="s">
        <v>104</v>
      </c>
      <c r="D24" s="5" t="s">
        <v>105</v>
      </c>
      <c r="E24" s="5" t="s">
        <v>106</v>
      </c>
      <c r="F24" s="6" t="s">
        <v>15</v>
      </c>
      <c r="G24" s="6" t="s">
        <v>519</v>
      </c>
      <c r="H24" s="5"/>
      <c r="I24" s="7"/>
      <c r="J24" s="5"/>
    </row>
    <row r="25" customFormat="false" ht="23.85" hidden="false" customHeight="false" outlineLevel="0" collapsed="false">
      <c r="A25" s="8" t="s">
        <v>107</v>
      </c>
      <c r="B25" s="9" t="s">
        <v>99</v>
      </c>
      <c r="C25" s="4" t="s">
        <v>108</v>
      </c>
      <c r="D25" s="5" t="s">
        <v>109</v>
      </c>
      <c r="E25" s="5" t="s">
        <v>110</v>
      </c>
      <c r="F25" s="6" t="s">
        <v>15</v>
      </c>
      <c r="G25" s="6" t="s">
        <v>519</v>
      </c>
      <c r="H25" s="5"/>
      <c r="I25" s="7"/>
      <c r="J25" s="5"/>
    </row>
    <row r="26" customFormat="false" ht="23.85" hidden="false" customHeight="false" outlineLevel="0" collapsed="false">
      <c r="A26" s="8" t="s">
        <v>111</v>
      </c>
      <c r="B26" s="9" t="s">
        <v>99</v>
      </c>
      <c r="C26" s="4" t="s">
        <v>112</v>
      </c>
      <c r="D26" s="5" t="s">
        <v>113</v>
      </c>
      <c r="E26" s="5" t="s">
        <v>114</v>
      </c>
      <c r="F26" s="6" t="s">
        <v>15</v>
      </c>
      <c r="G26" s="6" t="s">
        <v>519</v>
      </c>
      <c r="H26" s="5"/>
      <c r="I26" s="7"/>
      <c r="J26" s="5"/>
    </row>
    <row r="27" customFormat="false" ht="23.85" hidden="false" customHeight="false" outlineLevel="0" collapsed="false">
      <c r="A27" s="8" t="s">
        <v>115</v>
      </c>
      <c r="B27" s="9" t="s">
        <v>99</v>
      </c>
      <c r="C27" s="4" t="s">
        <v>116</v>
      </c>
      <c r="D27" s="5" t="s">
        <v>117</v>
      </c>
      <c r="E27" s="5" t="s">
        <v>118</v>
      </c>
      <c r="F27" s="6" t="s">
        <v>15</v>
      </c>
      <c r="G27" s="6" t="s">
        <v>519</v>
      </c>
      <c r="H27" s="5"/>
      <c r="I27" s="7"/>
      <c r="J27" s="5"/>
    </row>
    <row r="28" customFormat="false" ht="15" hidden="false" customHeight="false" outlineLevel="0" collapsed="false">
      <c r="A28" s="8" t="s">
        <v>119</v>
      </c>
      <c r="B28" s="9" t="s">
        <v>99</v>
      </c>
      <c r="C28" s="4" t="s">
        <v>120</v>
      </c>
      <c r="D28" s="5" t="s">
        <v>121</v>
      </c>
      <c r="E28" s="5" t="s">
        <v>122</v>
      </c>
      <c r="F28" s="6" t="s">
        <v>15</v>
      </c>
      <c r="G28" s="6" t="s">
        <v>519</v>
      </c>
      <c r="H28" s="5"/>
      <c r="I28" s="7"/>
      <c r="J28" s="5"/>
    </row>
    <row r="29" customFormat="false" ht="15" hidden="false" customHeight="false" outlineLevel="0" collapsed="false">
      <c r="A29" s="8" t="s">
        <v>123</v>
      </c>
      <c r="B29" s="9" t="s">
        <v>99</v>
      </c>
      <c r="C29" s="4" t="s">
        <v>124</v>
      </c>
      <c r="D29" s="5" t="s">
        <v>125</v>
      </c>
      <c r="E29" s="5" t="s">
        <v>126</v>
      </c>
      <c r="F29" s="6" t="s">
        <v>21</v>
      </c>
      <c r="G29" s="6" t="s">
        <v>519</v>
      </c>
      <c r="H29" s="5"/>
      <c r="I29" s="7"/>
      <c r="J29" s="5"/>
    </row>
    <row r="30" customFormat="false" ht="15" hidden="false" customHeight="false" outlineLevel="0" collapsed="false">
      <c r="A30" s="8" t="s">
        <v>127</v>
      </c>
      <c r="B30" s="9" t="s">
        <v>99</v>
      </c>
      <c r="C30" s="4" t="s">
        <v>128</v>
      </c>
      <c r="D30" s="5" t="s">
        <v>129</v>
      </c>
      <c r="E30" s="5" t="s">
        <v>130</v>
      </c>
      <c r="F30" s="6" t="s">
        <v>15</v>
      </c>
      <c r="G30" s="6" t="s">
        <v>519</v>
      </c>
      <c r="H30" s="5"/>
      <c r="I30" s="7"/>
      <c r="J30" s="5"/>
    </row>
    <row r="31" customFormat="false" ht="15" hidden="false" customHeight="false" outlineLevel="0" collapsed="false">
      <c r="A31" s="8" t="s">
        <v>131</v>
      </c>
      <c r="B31" s="9" t="s">
        <v>99</v>
      </c>
      <c r="C31" s="4" t="s">
        <v>132</v>
      </c>
      <c r="D31" s="5" t="s">
        <v>133</v>
      </c>
      <c r="E31" s="5" t="s">
        <v>134</v>
      </c>
      <c r="F31" s="6" t="s">
        <v>15</v>
      </c>
      <c r="G31" s="6" t="s">
        <v>16</v>
      </c>
      <c r="H31" s="5"/>
      <c r="I31" s="7"/>
      <c r="J31" s="5"/>
    </row>
    <row r="32" customFormat="false" ht="15" hidden="false" customHeight="false" outlineLevel="0" collapsed="false">
      <c r="A32" s="8" t="s">
        <v>135</v>
      </c>
      <c r="B32" s="9" t="s">
        <v>99</v>
      </c>
      <c r="C32" s="4" t="s">
        <v>136</v>
      </c>
      <c r="D32" s="5" t="s">
        <v>137</v>
      </c>
      <c r="E32" s="5" t="s">
        <v>138</v>
      </c>
      <c r="F32" s="6" t="s">
        <v>15</v>
      </c>
      <c r="G32" s="6" t="s">
        <v>16</v>
      </c>
      <c r="H32" s="5"/>
      <c r="I32" s="7"/>
      <c r="J32" s="5"/>
    </row>
    <row r="33" customFormat="false" ht="15" hidden="false" customHeight="false" outlineLevel="0" collapsed="false">
      <c r="A33" s="8" t="s">
        <v>139</v>
      </c>
      <c r="B33" s="9" t="s">
        <v>99</v>
      </c>
      <c r="C33" s="4" t="s">
        <v>140</v>
      </c>
      <c r="D33" s="5" t="s">
        <v>141</v>
      </c>
      <c r="E33" s="5" t="s">
        <v>142</v>
      </c>
      <c r="F33" s="6" t="s">
        <v>21</v>
      </c>
      <c r="G33" s="6" t="s">
        <v>519</v>
      </c>
      <c r="H33" s="5" t="inlineStr">
        <is>
          <t>aminullah-01</t>
        </is>
      </c>
      <c r="I33" s="7" t="inlineStr">
        <is>
          <t>2026-09-29</t>
        </is>
      </c>
      <c r="J33" s="5" t="inlineStr">
        <is>
          <t>Implemented SellerCard in src/components/products/SellerCard.jsx: business name, location, rating or "No ratings yet", short description and product count, plus a 44px "View Seller" link to /sellers/:id. Data-driven from seller_profiles columns and hides unapproved sellers from public listings (MKT-04). 14 tests added; lint, format, full suite and build pass.</t>
        </is>
      </c>
    </row>
    <row r="34" customFormat="false" ht="15" hidden="false" customHeight="false" outlineLevel="0" collapsed="false">
      <c r="A34" s="8" t="s">
        <v>143</v>
      </c>
      <c r="B34" s="9" t="s">
        <v>99</v>
      </c>
      <c r="C34" s="4" t="s">
        <v>144</v>
      </c>
      <c r="D34" s="5" t="s">
        <v>145</v>
      </c>
      <c r="E34" s="5" t="s">
        <v>146</v>
      </c>
      <c r="F34" s="6" t="s">
        <v>15</v>
      </c>
      <c r="G34" s="6" t="s">
        <v>519</v>
      </c>
      <c r="H34" s="5" t="inlineStr">
        <is>
          <t>aminullah-01</t>
        </is>
      </c>
      <c r="I34" s="7" t="inlineStr">
        <is>
          <t>2026-09-29</t>
        </is>
      </c>
      <c r="J34" s="5" t="inlineStr">
        <is>
          <t>Implemented shared SearchBar in src/components/common/SearchBar.jsx: keyword field with submit, trimmed/encoded into ?search= on /products (SRCH-01, SRCH-06), URL-synced input, optional clear action and 44px touch targets. Refactored Navbar desktop and mobile drawer to use it (removed duplicate inline forms) and added .search-bar styles. 16 tests added; lint, format, full suite (239 tests) and build pass.</t>
        </is>
      </c>
    </row>
    <row r="35" customFormat="false" ht="15" hidden="false" customHeight="false" outlineLevel="0" collapsed="false">
      <c r="A35" s="8" t="s">
        <v>147</v>
      </c>
      <c r="B35" s="9" t="s">
        <v>99</v>
      </c>
      <c r="C35" s="4" t="s">
        <v>148</v>
      </c>
      <c r="D35" s="5" t="s">
        <v>149</v>
      </c>
      <c r="E35" s="5" t="s">
        <v>150</v>
      </c>
      <c r="F35" s="6" t="s">
        <v>15</v>
      </c>
      <c r="G35" s="6" t="s">
        <v>519</v>
      </c>
      <c r="H35" s="5"/>
      <c r="I35" s="7"/>
      <c r="J35" s="5"/>
    </row>
    <row r="36" customFormat="false" ht="15" hidden="false" customHeight="false" outlineLevel="0" collapsed="false">
      <c r="A36" s="8" t="s">
        <v>151</v>
      </c>
      <c r="B36" s="9" t="s">
        <v>99</v>
      </c>
      <c r="C36" s="4" t="s">
        <v>152</v>
      </c>
      <c r="D36" s="5" t="s">
        <v>153</v>
      </c>
      <c r="E36" s="5" t="s">
        <v>154</v>
      </c>
      <c r="F36" s="6" t="s">
        <v>15</v>
      </c>
      <c r="G36" s="6" t="s">
        <v>519</v>
      </c>
      <c r="H36" s="5"/>
      <c r="I36" s="7"/>
      <c r="J36" s="5"/>
    </row>
    <row r="37" customFormat="false" ht="15" hidden="false" customHeight="false" outlineLevel="0" collapsed="false">
      <c r="A37" s="8" t="s">
        <v>155</v>
      </c>
      <c r="B37" s="9" t="s">
        <v>99</v>
      </c>
      <c r="C37" s="4" t="s">
        <v>156</v>
      </c>
      <c r="D37" s="5" t="s">
        <v>157</v>
      </c>
      <c r="E37" s="5" t="s">
        <v>158</v>
      </c>
      <c r="F37" s="6" t="s">
        <v>15</v>
      </c>
      <c r="G37" s="6" t="s">
        <v>519</v>
      </c>
      <c r="H37" s="5"/>
      <c r="I37" s="7"/>
      <c r="J37" s="5"/>
    </row>
    <row r="38" customFormat="false" ht="15" hidden="false" customHeight="false" outlineLevel="0" collapsed="false">
      <c r="A38" s="8" t="s">
        <v>159</v>
      </c>
      <c r="B38" s="9" t="s">
        <v>99</v>
      </c>
      <c r="C38" s="4" t="s">
        <v>160</v>
      </c>
      <c r="D38" s="5" t="s">
        <v>161</v>
      </c>
      <c r="E38" s="5" t="s">
        <v>162</v>
      </c>
      <c r="F38" s="6" t="s">
        <v>15</v>
      </c>
      <c r="G38" s="6" t="s">
        <v>519</v>
      </c>
      <c r="H38" s="5"/>
      <c r="I38" s="7"/>
      <c r="J38" s="5"/>
    </row>
    <row r="39" customFormat="false" ht="15" hidden="false" customHeight="false" outlineLevel="0" collapsed="false">
      <c r="A39" s="8" t="s">
        <v>163</v>
      </c>
      <c r="B39" s="9" t="s">
        <v>99</v>
      </c>
      <c r="C39" s="4" t="s">
        <v>164</v>
      </c>
      <c r="D39" s="5" t="s">
        <v>165</v>
      </c>
      <c r="E39" s="5" t="s">
        <v>166</v>
      </c>
      <c r="F39" s="6" t="s">
        <v>15</v>
      </c>
      <c r="G39" s="6" t="s">
        <v>519</v>
      </c>
      <c r="H39" s="5"/>
      <c r="I39" s="7"/>
      <c r="J39" s="5"/>
    </row>
    <row r="40" customFormat="false" ht="23.85" hidden="false" customHeight="false" outlineLevel="0" collapsed="false">
      <c r="A40" s="8" t="s">
        <v>167</v>
      </c>
      <c r="B40" s="9" t="s">
        <v>99</v>
      </c>
      <c r="C40" s="4" t="s">
        <v>168</v>
      </c>
      <c r="D40" s="5" t="s">
        <v>169</v>
      </c>
      <c r="E40" s="5" t="s">
        <v>170</v>
      </c>
      <c r="F40" s="6" t="s">
        <v>15</v>
      </c>
      <c r="G40" s="6" t="s">
        <v>519</v>
      </c>
      <c r="H40" s="5"/>
      <c r="I40" s="7"/>
      <c r="J40" s="5"/>
    </row>
    <row r="41" customFormat="false" ht="15" hidden="false" customHeight="false" outlineLevel="0" collapsed="false">
      <c r="A41" s="8" t="s">
        <v>171</v>
      </c>
      <c r="B41" s="9" t="s">
        <v>99</v>
      </c>
      <c r="C41" s="4" t="s">
        <v>172</v>
      </c>
      <c r="D41" s="5" t="s">
        <v>173</v>
      </c>
      <c r="E41" s="5" t="s">
        <v>174</v>
      </c>
      <c r="F41" s="6" t="s">
        <v>175</v>
      </c>
      <c r="G41" s="6" t="s">
        <v>519</v>
      </c>
      <c r="H41" s="5"/>
      <c r="I41" s="7"/>
      <c r="J41" s="5"/>
    </row>
    <row r="42" customFormat="false" ht="15" hidden="false" customHeight="false" outlineLevel="0" collapsed="false">
      <c r="A42" s="2" t="s">
        <v>176</v>
      </c>
      <c r="B42" s="3" t="s">
        <v>177</v>
      </c>
      <c r="C42" s="4" t="s">
        <v>178</v>
      </c>
      <c r="D42" s="5" t="s">
        <v>179</v>
      </c>
      <c r="E42" s="5" t="s">
        <v>180</v>
      </c>
      <c r="F42" s="6" t="s">
        <v>15</v>
      </c>
      <c r="G42" s="6" t="s">
        <v>519</v>
      </c>
      <c r="H42" s="5"/>
      <c r="I42" s="7"/>
      <c r="J42" s="5"/>
    </row>
    <row r="43" customFormat="false" ht="15" hidden="false" customHeight="false" outlineLevel="0" collapsed="false">
      <c r="A43" s="2" t="s">
        <v>181</v>
      </c>
      <c r="B43" s="3" t="s">
        <v>177</v>
      </c>
      <c r="C43" s="4" t="s">
        <v>182</v>
      </c>
      <c r="D43" s="5" t="s">
        <v>183</v>
      </c>
      <c r="E43" s="5" t="s">
        <v>180</v>
      </c>
      <c r="F43" s="6" t="s">
        <v>15</v>
      </c>
      <c r="G43" s="6" t="s">
        <v>519</v>
      </c>
      <c r="H43" s="5"/>
      <c r="I43" s="7"/>
      <c r="J43" s="5"/>
    </row>
    <row r="44" customFormat="false" ht="15" hidden="false" customHeight="false" outlineLevel="0" collapsed="false">
      <c r="A44" s="2" t="s">
        <v>184</v>
      </c>
      <c r="B44" s="3" t="s">
        <v>177</v>
      </c>
      <c r="C44" s="4" t="s">
        <v>185</v>
      </c>
      <c r="D44" s="5" t="s">
        <v>186</v>
      </c>
      <c r="E44" s="5" t="s">
        <v>187</v>
      </c>
      <c r="F44" s="6" t="s">
        <v>15</v>
      </c>
      <c r="G44" s="6" t="s">
        <v>519</v>
      </c>
      <c r="H44" s="5"/>
      <c r="I44" s="7"/>
      <c r="J44" s="5"/>
    </row>
    <row r="45" customFormat="false" ht="15" hidden="false" customHeight="false" outlineLevel="0" collapsed="false">
      <c r="A45" s="2" t="s">
        <v>188</v>
      </c>
      <c r="B45" s="3" t="s">
        <v>177</v>
      </c>
      <c r="C45" s="4" t="s">
        <v>189</v>
      </c>
      <c r="D45" s="5" t="s">
        <v>190</v>
      </c>
      <c r="E45" s="5" t="s">
        <v>180</v>
      </c>
      <c r="F45" s="6" t="s">
        <v>21</v>
      </c>
      <c r="G45" s="6" t="s">
        <v>519</v>
      </c>
      <c r="H45" s="5"/>
      <c r="I45" s="7"/>
      <c r="J45" s="5"/>
    </row>
    <row r="46" customFormat="false" ht="23.85" hidden="false" customHeight="false" outlineLevel="0" collapsed="false">
      <c r="A46" s="2" t="s">
        <v>191</v>
      </c>
      <c r="B46" s="3" t="s">
        <v>177</v>
      </c>
      <c r="C46" s="4" t="s">
        <v>192</v>
      </c>
      <c r="D46" s="5" t="s">
        <v>193</v>
      </c>
      <c r="E46" s="5" t="s">
        <v>180</v>
      </c>
      <c r="F46" s="6" t="s">
        <v>15</v>
      </c>
      <c r="G46" s="6" t="s">
        <v>519</v>
      </c>
      <c r="H46" s="5"/>
      <c r="I46" s="7"/>
      <c r="J46" s="5"/>
    </row>
    <row r="47" customFormat="false" ht="15" hidden="false" customHeight="false" outlineLevel="0" collapsed="false">
      <c r="A47" s="2" t="s">
        <v>194</v>
      </c>
      <c r="B47" s="3" t="s">
        <v>177</v>
      </c>
      <c r="C47" s="4" t="s">
        <v>195</v>
      </c>
      <c r="D47" s="5" t="s">
        <v>196</v>
      </c>
      <c r="E47" s="5" t="s">
        <v>197</v>
      </c>
      <c r="F47" s="6" t="s">
        <v>15</v>
      </c>
      <c r="G47" s="6" t="s">
        <v>519</v>
      </c>
      <c r="H47" s="5"/>
      <c r="I47" s="7"/>
      <c r="J47" s="5"/>
    </row>
    <row r="48" customFormat="false" ht="23.85" hidden="false" customHeight="false" outlineLevel="0" collapsed="false">
      <c r="A48" s="2" t="s">
        <v>198</v>
      </c>
      <c r="B48" s="3" t="s">
        <v>177</v>
      </c>
      <c r="C48" s="4" t="s">
        <v>199</v>
      </c>
      <c r="D48" s="5" t="s">
        <v>200</v>
      </c>
      <c r="E48" s="5" t="s">
        <v>201</v>
      </c>
      <c r="F48" s="6" t="s">
        <v>15</v>
      </c>
      <c r="G48" s="6" t="s">
        <v>519</v>
      </c>
      <c r="H48" s="5"/>
      <c r="I48" s="7"/>
      <c r="J48" s="5"/>
    </row>
    <row r="49" customFormat="false" ht="15" hidden="false" customHeight="false" outlineLevel="0" collapsed="false">
      <c r="A49" s="2" t="s">
        <v>202</v>
      </c>
      <c r="B49" s="3" t="s">
        <v>177</v>
      </c>
      <c r="C49" s="4" t="s">
        <v>203</v>
      </c>
      <c r="D49" s="5" t="s">
        <v>204</v>
      </c>
      <c r="E49" s="5" t="s">
        <v>205</v>
      </c>
      <c r="F49" s="6" t="s">
        <v>15</v>
      </c>
      <c r="G49" s="6" t="s">
        <v>519</v>
      </c>
      <c r="H49" s="5"/>
      <c r="I49" s="7"/>
      <c r="J49" s="5"/>
    </row>
    <row r="50" customFormat="false" ht="15" hidden="false" customHeight="false" outlineLevel="0" collapsed="false">
      <c r="A50" s="2" t="s">
        <v>206</v>
      </c>
      <c r="B50" s="3" t="s">
        <v>177</v>
      </c>
      <c r="C50" s="4" t="s">
        <v>207</v>
      </c>
      <c r="D50" s="5" t="s">
        <v>208</v>
      </c>
      <c r="E50" s="5" t="s">
        <v>209</v>
      </c>
      <c r="F50" s="6" t="s">
        <v>15</v>
      </c>
      <c r="G50" s="6" t="s">
        <v>519</v>
      </c>
      <c r="H50" s="5"/>
      <c r="I50" s="7"/>
      <c r="J50" s="5"/>
    </row>
    <row r="51" customFormat="false" ht="23.85" hidden="false" customHeight="false" outlineLevel="0" collapsed="false">
      <c r="A51" s="2" t="s">
        <v>210</v>
      </c>
      <c r="B51" s="3" t="s">
        <v>177</v>
      </c>
      <c r="C51" s="4" t="s">
        <v>211</v>
      </c>
      <c r="D51" s="5" t="s">
        <v>212</v>
      </c>
      <c r="E51" s="5" t="s">
        <v>213</v>
      </c>
      <c r="F51" s="6" t="s">
        <v>15</v>
      </c>
      <c r="G51" s="6" t="s">
        <v>519</v>
      </c>
      <c r="H51" s="5"/>
      <c r="I51" s="7"/>
      <c r="J51" s="5"/>
    </row>
    <row r="52" customFormat="false" ht="23.85" hidden="false" customHeight="false" outlineLevel="0" collapsed="false">
      <c r="A52" s="2" t="s">
        <v>214</v>
      </c>
      <c r="B52" s="3" t="s">
        <v>177</v>
      </c>
      <c r="C52" s="4" t="s">
        <v>215</v>
      </c>
      <c r="D52" s="5" t="s">
        <v>216</v>
      </c>
      <c r="E52" s="5" t="s">
        <v>217</v>
      </c>
      <c r="F52" s="6" t="s">
        <v>15</v>
      </c>
      <c r="G52" s="6" t="s">
        <v>519</v>
      </c>
      <c r="H52" s="5"/>
      <c r="I52" s="7"/>
      <c r="J52" s="5"/>
    </row>
    <row r="53" customFormat="false" ht="15" hidden="false" customHeight="false" outlineLevel="0" collapsed="false">
      <c r="A53" s="2" t="s">
        <v>218</v>
      </c>
      <c r="B53" s="3" t="s">
        <v>177</v>
      </c>
      <c r="C53" s="4" t="s">
        <v>219</v>
      </c>
      <c r="D53" s="5" t="s">
        <v>220</v>
      </c>
      <c r="E53" s="5" t="s">
        <v>221</v>
      </c>
      <c r="F53" s="6" t="s">
        <v>21</v>
      </c>
      <c r="G53" s="6" t="s">
        <v>519</v>
      </c>
      <c r="H53" s="5"/>
      <c r="I53" s="7"/>
      <c r="J53" s="5"/>
    </row>
    <row r="54" customFormat="false" ht="23.85" hidden="false" customHeight="false" outlineLevel="0" collapsed="false">
      <c r="A54" s="2" t="s">
        <v>222</v>
      </c>
      <c r="B54" s="3" t="s">
        <v>177</v>
      </c>
      <c r="C54" s="4" t="s">
        <v>223</v>
      </c>
      <c r="D54" s="5" t="s">
        <v>224</v>
      </c>
      <c r="E54" s="5" t="s">
        <v>225</v>
      </c>
      <c r="F54" s="6" t="s">
        <v>21</v>
      </c>
      <c r="G54" s="6" t="s">
        <v>519</v>
      </c>
      <c r="H54" s="5"/>
      <c r="I54" s="7"/>
      <c r="J54" s="5"/>
    </row>
    <row r="55" customFormat="false" ht="23.85" hidden="false" customHeight="false" outlineLevel="0" collapsed="false">
      <c r="A55" s="8" t="s">
        <v>226</v>
      </c>
      <c r="B55" s="9" t="s">
        <v>227</v>
      </c>
      <c r="C55" s="4" t="s">
        <v>228</v>
      </c>
      <c r="D55" s="5" t="s">
        <v>229</v>
      </c>
      <c r="E55" s="5" t="s">
        <v>230</v>
      </c>
      <c r="F55" s="6" t="s">
        <v>15</v>
      </c>
      <c r="G55" s="6" t="s">
        <v>519</v>
      </c>
      <c r="H55" s="5"/>
      <c r="I55" s="7"/>
      <c r="J55" s="5"/>
    </row>
    <row r="56" customFormat="false" ht="15" hidden="false" customHeight="false" outlineLevel="0" collapsed="false">
      <c r="A56" s="8" t="s">
        <v>231</v>
      </c>
      <c r="B56" s="9" t="s">
        <v>227</v>
      </c>
      <c r="C56" s="4" t="s">
        <v>232</v>
      </c>
      <c r="D56" s="5" t="s">
        <v>233</v>
      </c>
      <c r="E56" s="5" t="s">
        <v>234</v>
      </c>
      <c r="F56" s="6" t="s">
        <v>15</v>
      </c>
      <c r="G56" s="6" t="s">
        <v>519</v>
      </c>
      <c r="H56" s="5"/>
      <c r="I56" s="7"/>
      <c r="J56" s="5"/>
    </row>
    <row r="57" customFormat="false" ht="23.85" hidden="false" customHeight="false" outlineLevel="0" collapsed="false">
      <c r="A57" s="8" t="s">
        <v>235</v>
      </c>
      <c r="B57" s="9" t="s">
        <v>227</v>
      </c>
      <c r="C57" s="4" t="s">
        <v>236</v>
      </c>
      <c r="D57" s="5" t="s">
        <v>237</v>
      </c>
      <c r="E57" s="5" t="s">
        <v>238</v>
      </c>
      <c r="F57" s="6" t="s">
        <v>15</v>
      </c>
      <c r="G57" s="6" t="s">
        <v>519</v>
      </c>
      <c r="H57" s="5"/>
      <c r="I57" s="7"/>
      <c r="J57" s="5"/>
    </row>
    <row r="58" customFormat="false" ht="15" hidden="false" customHeight="false" outlineLevel="0" collapsed="false">
      <c r="A58" s="8" t="s">
        <v>239</v>
      </c>
      <c r="B58" s="9" t="s">
        <v>227</v>
      </c>
      <c r="C58" s="4" t="s">
        <v>240</v>
      </c>
      <c r="D58" s="5" t="s">
        <v>241</v>
      </c>
      <c r="E58" s="5" t="s">
        <v>242</v>
      </c>
      <c r="F58" s="6" t="s">
        <v>15</v>
      </c>
      <c r="G58" s="6" t="s">
        <v>519</v>
      </c>
      <c r="H58" s="5"/>
      <c r="I58" s="7"/>
      <c r="J58" s="5"/>
    </row>
    <row r="59" customFormat="false" ht="15" hidden="false" customHeight="false" outlineLevel="0" collapsed="false">
      <c r="A59" s="8" t="s">
        <v>243</v>
      </c>
      <c r="B59" s="9" t="s">
        <v>227</v>
      </c>
      <c r="C59" s="4" t="s">
        <v>244</v>
      </c>
      <c r="D59" s="5" t="s">
        <v>245</v>
      </c>
      <c r="E59" s="5" t="s">
        <v>246</v>
      </c>
      <c r="F59" s="6" t="s">
        <v>21</v>
      </c>
      <c r="G59" s="6" t="s">
        <v>519</v>
      </c>
      <c r="H59" s="5"/>
      <c r="I59" s="7"/>
      <c r="J59" s="5"/>
    </row>
    <row r="60" customFormat="false" ht="23.85" hidden="false" customHeight="false" outlineLevel="0" collapsed="false">
      <c r="A60" s="8" t="s">
        <v>247</v>
      </c>
      <c r="B60" s="9" t="s">
        <v>227</v>
      </c>
      <c r="C60" s="4" t="s">
        <v>248</v>
      </c>
      <c r="D60" s="5" t="s">
        <v>249</v>
      </c>
      <c r="E60" s="5" t="s">
        <v>250</v>
      </c>
      <c r="F60" s="6" t="s">
        <v>15</v>
      </c>
      <c r="G60" s="6" t="s">
        <v>519</v>
      </c>
      <c r="H60" s="5"/>
      <c r="I60" s="7"/>
      <c r="J60" s="5"/>
    </row>
    <row r="61" customFormat="false" ht="23.85" hidden="false" customHeight="false" outlineLevel="0" collapsed="false">
      <c r="A61" s="8" t="s">
        <v>251</v>
      </c>
      <c r="B61" s="9" t="s">
        <v>227</v>
      </c>
      <c r="C61" s="4" t="s">
        <v>252</v>
      </c>
      <c r="D61" s="5" t="s">
        <v>253</v>
      </c>
      <c r="E61" s="5" t="s">
        <v>254</v>
      </c>
      <c r="F61" s="6" t="s">
        <v>15</v>
      </c>
      <c r="G61" s="6" t="s">
        <v>519</v>
      </c>
      <c r="H61" s="5"/>
      <c r="I61" s="7"/>
      <c r="J61" s="5"/>
    </row>
    <row r="62" customFormat="false" ht="15" hidden="false" customHeight="false" outlineLevel="0" collapsed="false">
      <c r="A62" s="8" t="s">
        <v>255</v>
      </c>
      <c r="B62" s="9" t="s">
        <v>227</v>
      </c>
      <c r="C62" s="4" t="s">
        <v>256</v>
      </c>
      <c r="D62" s="5" t="s">
        <v>257</v>
      </c>
      <c r="E62" s="5" t="s">
        <v>258</v>
      </c>
      <c r="F62" s="6" t="s">
        <v>175</v>
      </c>
      <c r="G62" s="6" t="s">
        <v>519</v>
      </c>
      <c r="H62" s="5"/>
      <c r="I62" s="7"/>
      <c r="J62" s="5"/>
    </row>
    <row r="63" customFormat="false" ht="23.85" hidden="false" customHeight="false" outlineLevel="0" collapsed="false">
      <c r="A63" s="2" t="s">
        <v>259</v>
      </c>
      <c r="B63" s="3" t="s">
        <v>260</v>
      </c>
      <c r="C63" s="4" t="s">
        <v>261</v>
      </c>
      <c r="D63" s="5" t="s">
        <v>262</v>
      </c>
      <c r="E63" s="5" t="s">
        <v>263</v>
      </c>
      <c r="F63" s="6" t="s">
        <v>15</v>
      </c>
      <c r="G63" s="6" t="s">
        <v>519</v>
      </c>
      <c r="H63" s="5"/>
      <c r="I63" s="7"/>
      <c r="J63" s="5"/>
    </row>
    <row r="64" customFormat="false" ht="15" hidden="false" customHeight="false" outlineLevel="0" collapsed="false">
      <c r="A64" s="2" t="s">
        <v>264</v>
      </c>
      <c r="B64" s="3" t="s">
        <v>260</v>
      </c>
      <c r="C64" s="4" t="s">
        <v>265</v>
      </c>
      <c r="D64" s="5" t="s">
        <v>266</v>
      </c>
      <c r="E64" s="5" t="s">
        <v>267</v>
      </c>
      <c r="F64" s="6" t="s">
        <v>15</v>
      </c>
      <c r="G64" s="6" t="s">
        <v>519</v>
      </c>
      <c r="H64" s="5"/>
      <c r="I64" s="7"/>
      <c r="J64" s="5"/>
    </row>
    <row r="65" customFormat="false" ht="23.85" hidden="false" customHeight="false" outlineLevel="0" collapsed="false">
      <c r="A65" s="2" t="s">
        <v>268</v>
      </c>
      <c r="B65" s="3" t="s">
        <v>260</v>
      </c>
      <c r="C65" s="4" t="s">
        <v>269</v>
      </c>
      <c r="D65" s="5" t="s">
        <v>270</v>
      </c>
      <c r="E65" s="5" t="s">
        <v>271</v>
      </c>
      <c r="F65" s="6" t="s">
        <v>15</v>
      </c>
      <c r="G65" s="6" t="s">
        <v>519</v>
      </c>
      <c r="H65" s="5"/>
      <c r="I65" s="7"/>
      <c r="J65" s="5"/>
    </row>
    <row r="66" customFormat="false" ht="23.85" hidden="false" customHeight="false" outlineLevel="0" collapsed="false">
      <c r="A66" s="2" t="s">
        <v>272</v>
      </c>
      <c r="B66" s="3" t="s">
        <v>260</v>
      </c>
      <c r="C66" s="4" t="s">
        <v>273</v>
      </c>
      <c r="D66" s="5" t="s">
        <v>274</v>
      </c>
      <c r="E66" s="5" t="s">
        <v>275</v>
      </c>
      <c r="F66" s="6" t="s">
        <v>15</v>
      </c>
      <c r="G66" s="6" t="s">
        <v>519</v>
      </c>
      <c r="H66" s="5"/>
      <c r="I66" s="7"/>
      <c r="J66" s="5"/>
    </row>
    <row r="67" customFormat="false" ht="23.85" hidden="false" customHeight="false" outlineLevel="0" collapsed="false">
      <c r="A67" s="2" t="s">
        <v>276</v>
      </c>
      <c r="B67" s="3" t="s">
        <v>260</v>
      </c>
      <c r="C67" s="4" t="s">
        <v>277</v>
      </c>
      <c r="D67" s="5" t="s">
        <v>278</v>
      </c>
      <c r="E67" s="5" t="s">
        <v>279</v>
      </c>
      <c r="F67" s="6" t="s">
        <v>21</v>
      </c>
      <c r="G67" s="6" t="s">
        <v>519</v>
      </c>
      <c r="H67" s="5"/>
      <c r="I67" s="7"/>
      <c r="J67" s="5"/>
    </row>
    <row r="68" customFormat="false" ht="15" hidden="false" customHeight="false" outlineLevel="0" collapsed="false">
      <c r="A68" s="2" t="s">
        <v>280</v>
      </c>
      <c r="B68" s="3" t="s">
        <v>260</v>
      </c>
      <c r="C68" s="4" t="s">
        <v>281</v>
      </c>
      <c r="D68" s="5" t="s">
        <v>282</v>
      </c>
      <c r="E68" s="5" t="s">
        <v>283</v>
      </c>
      <c r="F68" s="6" t="s">
        <v>21</v>
      </c>
      <c r="G68" s="6" t="s">
        <v>519</v>
      </c>
      <c r="H68" s="5"/>
      <c r="I68" s="7"/>
      <c r="J68" s="5"/>
    </row>
    <row r="69" customFormat="false" ht="23.85" hidden="false" customHeight="false" outlineLevel="0" collapsed="false">
      <c r="A69" s="2" t="s">
        <v>284</v>
      </c>
      <c r="B69" s="3" t="s">
        <v>260</v>
      </c>
      <c r="C69" s="4" t="s">
        <v>285</v>
      </c>
      <c r="D69" s="5" t="s">
        <v>286</v>
      </c>
      <c r="E69" s="5" t="s">
        <v>287</v>
      </c>
      <c r="F69" s="6" t="s">
        <v>15</v>
      </c>
      <c r="G69" s="6" t="s">
        <v>519</v>
      </c>
      <c r="H69" s="5"/>
      <c r="I69" s="7"/>
      <c r="J69" s="5"/>
    </row>
    <row r="70" customFormat="false" ht="15" hidden="false" customHeight="false" outlineLevel="0" collapsed="false">
      <c r="A70" s="2" t="s">
        <v>288</v>
      </c>
      <c r="B70" s="3" t="s">
        <v>260</v>
      </c>
      <c r="C70" s="4" t="s">
        <v>289</v>
      </c>
      <c r="D70" s="5" t="s">
        <v>290</v>
      </c>
      <c r="E70" s="5" t="s">
        <v>291</v>
      </c>
      <c r="F70" s="6" t="s">
        <v>15</v>
      </c>
      <c r="G70" s="6" t="s">
        <v>519</v>
      </c>
      <c r="H70" s="5"/>
      <c r="I70" s="7"/>
      <c r="J70" s="5"/>
    </row>
    <row r="71" customFormat="false" ht="23.85" hidden="false" customHeight="false" outlineLevel="0" collapsed="false">
      <c r="A71" s="8" t="s">
        <v>292</v>
      </c>
      <c r="B71" s="9" t="s">
        <v>293</v>
      </c>
      <c r="C71" s="4" t="s">
        <v>294</v>
      </c>
      <c r="D71" s="5" t="s">
        <v>295</v>
      </c>
      <c r="E71" s="5" t="s">
        <v>296</v>
      </c>
      <c r="F71" s="6" t="s">
        <v>15</v>
      </c>
      <c r="G71" s="6" t="s">
        <v>519</v>
      </c>
      <c r="H71" s="5"/>
      <c r="I71" s="7"/>
      <c r="J71" s="5"/>
    </row>
    <row r="72" customFormat="false" ht="23.85" hidden="false" customHeight="false" outlineLevel="0" collapsed="false">
      <c r="A72" s="8" t="s">
        <v>297</v>
      </c>
      <c r="B72" s="9" t="s">
        <v>293</v>
      </c>
      <c r="C72" s="4" t="s">
        <v>298</v>
      </c>
      <c r="D72" s="5" t="s">
        <v>299</v>
      </c>
      <c r="E72" s="5" t="s">
        <v>300</v>
      </c>
      <c r="F72" s="6" t="s">
        <v>15</v>
      </c>
      <c r="G72" s="6" t="s">
        <v>519</v>
      </c>
      <c r="H72" s="5"/>
      <c r="I72" s="7"/>
      <c r="J72" s="5"/>
    </row>
    <row r="73" customFormat="false" ht="23.85" hidden="false" customHeight="false" outlineLevel="0" collapsed="false">
      <c r="A73" s="8" t="s">
        <v>301</v>
      </c>
      <c r="B73" s="9" t="s">
        <v>293</v>
      </c>
      <c r="C73" s="4" t="s">
        <v>302</v>
      </c>
      <c r="D73" s="5" t="s">
        <v>303</v>
      </c>
      <c r="E73" s="5" t="s">
        <v>304</v>
      </c>
      <c r="F73" s="6" t="s">
        <v>21</v>
      </c>
      <c r="G73" s="6" t="s">
        <v>519</v>
      </c>
      <c r="H73" s="5"/>
      <c r="I73" s="7"/>
      <c r="J73" s="5"/>
    </row>
    <row r="74" customFormat="false" ht="15" hidden="false" customHeight="false" outlineLevel="0" collapsed="false">
      <c r="A74" s="8" t="s">
        <v>305</v>
      </c>
      <c r="B74" s="9" t="s">
        <v>293</v>
      </c>
      <c r="C74" s="4" t="s">
        <v>306</v>
      </c>
      <c r="D74" s="5" t="s">
        <v>307</v>
      </c>
      <c r="E74" s="5" t="s">
        <v>308</v>
      </c>
      <c r="F74" s="6" t="s">
        <v>15</v>
      </c>
      <c r="G74" s="6" t="s">
        <v>519</v>
      </c>
      <c r="H74" s="5"/>
      <c r="I74" s="7"/>
      <c r="J74" s="5"/>
    </row>
    <row r="75" customFormat="false" ht="23.85" hidden="false" customHeight="false" outlineLevel="0" collapsed="false">
      <c r="A75" s="8" t="s">
        <v>309</v>
      </c>
      <c r="B75" s="9" t="s">
        <v>293</v>
      </c>
      <c r="C75" s="4" t="s">
        <v>310</v>
      </c>
      <c r="D75" s="5" t="s">
        <v>311</v>
      </c>
      <c r="E75" s="5" t="s">
        <v>312</v>
      </c>
      <c r="F75" s="6" t="s">
        <v>15</v>
      </c>
      <c r="G75" s="6" t="s">
        <v>519</v>
      </c>
      <c r="H75" s="5"/>
      <c r="I75" s="7"/>
      <c r="J75" s="5"/>
    </row>
    <row r="76" customFormat="false" ht="15" hidden="false" customHeight="false" outlineLevel="0" collapsed="false">
      <c r="A76" s="8" t="s">
        <v>313</v>
      </c>
      <c r="B76" s="9" t="s">
        <v>293</v>
      </c>
      <c r="C76" s="4" t="s">
        <v>314</v>
      </c>
      <c r="D76" s="5" t="s">
        <v>315</v>
      </c>
      <c r="E76" s="5" t="s">
        <v>316</v>
      </c>
      <c r="F76" s="6" t="s">
        <v>15</v>
      </c>
      <c r="G76" s="6" t="s">
        <v>519</v>
      </c>
      <c r="H76" s="5"/>
      <c r="I76" s="7"/>
      <c r="J76" s="5"/>
    </row>
    <row r="77" customFormat="false" ht="15" hidden="false" customHeight="false" outlineLevel="0" collapsed="false">
      <c r="A77" s="8" t="s">
        <v>317</v>
      </c>
      <c r="B77" s="9" t="s">
        <v>293</v>
      </c>
      <c r="C77" s="4" t="s">
        <v>318</v>
      </c>
      <c r="D77" s="5" t="s">
        <v>319</v>
      </c>
      <c r="E77" s="5" t="s">
        <v>320</v>
      </c>
      <c r="F77" s="6" t="s">
        <v>15</v>
      </c>
      <c r="G77" s="6" t="s">
        <v>519</v>
      </c>
      <c r="H77" s="5"/>
      <c r="I77" s="7"/>
      <c r="J77" s="5"/>
    </row>
    <row r="78" customFormat="false" ht="15" hidden="false" customHeight="false" outlineLevel="0" collapsed="false">
      <c r="A78" s="8" t="s">
        <v>321</v>
      </c>
      <c r="B78" s="9" t="s">
        <v>293</v>
      </c>
      <c r="C78" s="4" t="s">
        <v>322</v>
      </c>
      <c r="D78" s="5" t="s">
        <v>323</v>
      </c>
      <c r="E78" s="5" t="s">
        <v>324</v>
      </c>
      <c r="F78" s="6" t="s">
        <v>15</v>
      </c>
      <c r="G78" s="6" t="s">
        <v>519</v>
      </c>
      <c r="H78" s="5"/>
      <c r="I78" s="7"/>
      <c r="J78" s="5"/>
    </row>
    <row r="79" customFormat="false" ht="23.85" hidden="false" customHeight="false" outlineLevel="0" collapsed="false">
      <c r="A79" s="8" t="s">
        <v>325</v>
      </c>
      <c r="B79" s="9" t="s">
        <v>293</v>
      </c>
      <c r="C79" s="4" t="s">
        <v>326</v>
      </c>
      <c r="D79" s="5" t="s">
        <v>327</v>
      </c>
      <c r="E79" s="5" t="s">
        <v>328</v>
      </c>
      <c r="F79" s="6" t="s">
        <v>15</v>
      </c>
      <c r="G79" s="6" t="s">
        <v>519</v>
      </c>
      <c r="H79" s="5"/>
      <c r="I79" s="7"/>
      <c r="J79" s="5"/>
    </row>
    <row r="80" customFormat="false" ht="15" hidden="false" customHeight="false" outlineLevel="0" collapsed="false">
      <c r="A80" s="8" t="s">
        <v>329</v>
      </c>
      <c r="B80" s="9" t="s">
        <v>293</v>
      </c>
      <c r="C80" s="4" t="s">
        <v>330</v>
      </c>
      <c r="D80" s="5" t="s">
        <v>331</v>
      </c>
      <c r="E80" s="5" t="s">
        <v>332</v>
      </c>
      <c r="F80" s="6" t="s">
        <v>21</v>
      </c>
      <c r="G80" s="6" t="s">
        <v>519</v>
      </c>
      <c r="H80" s="5"/>
      <c r="I80" s="7"/>
      <c r="J80" s="5"/>
    </row>
    <row r="81" customFormat="false" ht="23.85" hidden="false" customHeight="false" outlineLevel="0" collapsed="false">
      <c r="A81" s="2" t="s">
        <v>333</v>
      </c>
      <c r="B81" s="3" t="s">
        <v>334</v>
      </c>
      <c r="C81" s="4" t="s">
        <v>335</v>
      </c>
      <c r="D81" s="5" t="s">
        <v>336</v>
      </c>
      <c r="E81" s="5" t="s">
        <v>337</v>
      </c>
      <c r="F81" s="6" t="s">
        <v>15</v>
      </c>
      <c r="G81" s="6" t="s">
        <v>519</v>
      </c>
      <c r="H81" s="5"/>
      <c r="I81" s="7"/>
      <c r="J81" s="5"/>
    </row>
    <row r="82" customFormat="false" ht="15" hidden="false" customHeight="false" outlineLevel="0" collapsed="false">
      <c r="A82" s="2" t="s">
        <v>338</v>
      </c>
      <c r="B82" s="3" t="s">
        <v>334</v>
      </c>
      <c r="C82" s="4" t="s">
        <v>339</v>
      </c>
      <c r="D82" s="5" t="s">
        <v>340</v>
      </c>
      <c r="E82" s="5" t="s">
        <v>341</v>
      </c>
      <c r="F82" s="6" t="s">
        <v>21</v>
      </c>
      <c r="G82" s="6" t="s">
        <v>519</v>
      </c>
      <c r="H82" s="5"/>
      <c r="I82" s="7"/>
      <c r="J82" s="5"/>
    </row>
    <row r="83" customFormat="false" ht="15" hidden="false" customHeight="false" outlineLevel="0" collapsed="false">
      <c r="A83" s="2" t="s">
        <v>342</v>
      </c>
      <c r="B83" s="3" t="s">
        <v>334</v>
      </c>
      <c r="C83" s="4" t="s">
        <v>343</v>
      </c>
      <c r="D83" s="5" t="s">
        <v>344</v>
      </c>
      <c r="E83" s="5" t="s">
        <v>345</v>
      </c>
      <c r="F83" s="6" t="s">
        <v>15</v>
      </c>
      <c r="G83" s="6" t="s">
        <v>519</v>
      </c>
      <c r="H83" s="5"/>
      <c r="I83" s="7"/>
      <c r="J83" s="5"/>
    </row>
    <row r="84" customFormat="false" ht="23.85" hidden="false" customHeight="false" outlineLevel="0" collapsed="false">
      <c r="A84" s="2" t="s">
        <v>346</v>
      </c>
      <c r="B84" s="3" t="s">
        <v>334</v>
      </c>
      <c r="C84" s="4" t="s">
        <v>347</v>
      </c>
      <c r="D84" s="5" t="s">
        <v>348</v>
      </c>
      <c r="E84" s="5" t="s">
        <v>349</v>
      </c>
      <c r="F84" s="6" t="s">
        <v>15</v>
      </c>
      <c r="G84" s="6" t="s">
        <v>519</v>
      </c>
      <c r="H84" s="5"/>
      <c r="I84" s="7"/>
      <c r="J84" s="5"/>
    </row>
    <row r="85" customFormat="false" ht="23.85" hidden="false" customHeight="false" outlineLevel="0" collapsed="false">
      <c r="A85" s="2" t="s">
        <v>350</v>
      </c>
      <c r="B85" s="3" t="s">
        <v>334</v>
      </c>
      <c r="C85" s="4" t="s">
        <v>351</v>
      </c>
      <c r="D85" s="5" t="s">
        <v>352</v>
      </c>
      <c r="E85" s="5" t="s">
        <v>353</v>
      </c>
      <c r="F85" s="6" t="s">
        <v>15</v>
      </c>
      <c r="G85" s="6" t="s">
        <v>519</v>
      </c>
      <c r="H85" s="5"/>
      <c r="I85" s="7"/>
      <c r="J85" s="5"/>
    </row>
    <row r="86" customFormat="false" ht="15" hidden="false" customHeight="false" outlineLevel="0" collapsed="false">
      <c r="A86" s="2" t="s">
        <v>354</v>
      </c>
      <c r="B86" s="3" t="s">
        <v>334</v>
      </c>
      <c r="C86" s="4" t="s">
        <v>355</v>
      </c>
      <c r="D86" s="5" t="s">
        <v>356</v>
      </c>
      <c r="E86" s="5" t="s">
        <v>357</v>
      </c>
      <c r="F86" s="6" t="s">
        <v>15</v>
      </c>
      <c r="G86" s="6" t="s">
        <v>519</v>
      </c>
      <c r="H86" s="5"/>
      <c r="I86" s="7"/>
      <c r="J86" s="5"/>
    </row>
    <row r="87" customFormat="false" ht="15" hidden="false" customHeight="false" outlineLevel="0" collapsed="false">
      <c r="A87" s="2" t="s">
        <v>358</v>
      </c>
      <c r="B87" s="3" t="s">
        <v>334</v>
      </c>
      <c r="C87" s="4" t="s">
        <v>359</v>
      </c>
      <c r="D87" s="5" t="s">
        <v>360</v>
      </c>
      <c r="E87" s="5" t="s">
        <v>361</v>
      </c>
      <c r="F87" s="6" t="s">
        <v>15</v>
      </c>
      <c r="G87" s="6" t="s">
        <v>519</v>
      </c>
      <c r="H87" s="5"/>
      <c r="I87" s="7"/>
      <c r="J87" s="5"/>
    </row>
    <row r="88" customFormat="false" ht="15" hidden="false" customHeight="false" outlineLevel="0" collapsed="false">
      <c r="A88" s="2" t="s">
        <v>362</v>
      </c>
      <c r="B88" s="3" t="s">
        <v>334</v>
      </c>
      <c r="C88" s="4" t="s">
        <v>363</v>
      </c>
      <c r="D88" s="5" t="s">
        <v>364</v>
      </c>
      <c r="E88" s="5" t="s">
        <v>365</v>
      </c>
      <c r="F88" s="6" t="s">
        <v>15</v>
      </c>
      <c r="G88" s="6" t="s">
        <v>519</v>
      </c>
      <c r="H88" s="5"/>
      <c r="I88" s="7"/>
      <c r="J88" s="5"/>
    </row>
    <row r="89" customFormat="false" ht="15" hidden="false" customHeight="false" outlineLevel="0" collapsed="false">
      <c r="A89" s="2" t="s">
        <v>366</v>
      </c>
      <c r="B89" s="3" t="s">
        <v>334</v>
      </c>
      <c r="C89" s="4" t="s">
        <v>367</v>
      </c>
      <c r="D89" s="5" t="s">
        <v>368</v>
      </c>
      <c r="E89" s="5" t="s">
        <v>369</v>
      </c>
      <c r="F89" s="6" t="s">
        <v>15</v>
      </c>
      <c r="G89" s="6" t="s">
        <v>519</v>
      </c>
      <c r="H89" s="5"/>
      <c r="I89" s="7"/>
      <c r="J89" s="5"/>
    </row>
    <row r="90" customFormat="false" ht="15" hidden="false" customHeight="false" outlineLevel="0" collapsed="false">
      <c r="A90" s="2" t="s">
        <v>370</v>
      </c>
      <c r="B90" s="3" t="s">
        <v>334</v>
      </c>
      <c r="C90" s="4" t="s">
        <v>371</v>
      </c>
      <c r="D90" s="5" t="s">
        <v>372</v>
      </c>
      <c r="E90" s="5" t="s">
        <v>373</v>
      </c>
      <c r="F90" s="6" t="s">
        <v>175</v>
      </c>
      <c r="G90" s="6" t="s">
        <v>519</v>
      </c>
      <c r="H90" s="5"/>
      <c r="I90" s="7"/>
      <c r="J90" s="5"/>
    </row>
    <row r="91" customFormat="false" ht="15" hidden="false" customHeight="false" outlineLevel="0" collapsed="false">
      <c r="A91" s="2" t="s">
        <v>374</v>
      </c>
      <c r="B91" s="3" t="s">
        <v>334</v>
      </c>
      <c r="C91" s="4" t="s">
        <v>375</v>
      </c>
      <c r="D91" s="5" t="s">
        <v>376</v>
      </c>
      <c r="E91" s="5" t="s">
        <v>377</v>
      </c>
      <c r="F91" s="6" t="s">
        <v>15</v>
      </c>
      <c r="G91" s="6" t="s">
        <v>519</v>
      </c>
      <c r="H91" s="5"/>
      <c r="I91" s="7"/>
      <c r="J91" s="5"/>
    </row>
    <row r="92" customFormat="false" ht="15" hidden="false" customHeight="false" outlineLevel="0" collapsed="false">
      <c r="A92" s="2" t="s">
        <v>378</v>
      </c>
      <c r="B92" s="3" t="s">
        <v>334</v>
      </c>
      <c r="C92" s="4" t="s">
        <v>379</v>
      </c>
      <c r="D92" s="5" t="s">
        <v>380</v>
      </c>
      <c r="E92" s="5" t="s">
        <v>377</v>
      </c>
      <c r="F92" s="6" t="s">
        <v>15</v>
      </c>
      <c r="G92" s="6" t="s">
        <v>519</v>
      </c>
      <c r="H92" s="5"/>
      <c r="I92" s="7"/>
      <c r="J92" s="5"/>
    </row>
    <row r="93" customFormat="false" ht="15" hidden="false" customHeight="false" outlineLevel="0" collapsed="false">
      <c r="A93" s="2" t="s">
        <v>381</v>
      </c>
      <c r="B93" s="3" t="s">
        <v>334</v>
      </c>
      <c r="C93" s="4" t="s">
        <v>382</v>
      </c>
      <c r="D93" s="5" t="s">
        <v>383</v>
      </c>
      <c r="E93" s="5" t="s">
        <v>384</v>
      </c>
      <c r="F93" s="6" t="s">
        <v>15</v>
      </c>
      <c r="G93" s="6" t="s">
        <v>519</v>
      </c>
      <c r="H93" s="5"/>
      <c r="I93" s="7"/>
      <c r="J93" s="5"/>
    </row>
    <row r="94" customFormat="false" ht="23.85" hidden="false" customHeight="false" outlineLevel="0" collapsed="false">
      <c r="A94" s="2" t="s">
        <v>385</v>
      </c>
      <c r="B94" s="3" t="s">
        <v>334</v>
      </c>
      <c r="C94" s="4" t="s">
        <v>386</v>
      </c>
      <c r="D94" s="5" t="s">
        <v>387</v>
      </c>
      <c r="E94" s="5" t="s">
        <v>388</v>
      </c>
      <c r="F94" s="6" t="s">
        <v>21</v>
      </c>
      <c r="G94" s="6" t="s">
        <v>519</v>
      </c>
      <c r="H94" s="5"/>
      <c r="I94" s="7"/>
      <c r="J94" s="5"/>
    </row>
    <row r="95" customFormat="false" ht="15" hidden="false" customHeight="false" outlineLevel="0" collapsed="false">
      <c r="A95" s="2" t="s">
        <v>389</v>
      </c>
      <c r="B95" s="3" t="s">
        <v>334</v>
      </c>
      <c r="C95" s="4" t="s">
        <v>390</v>
      </c>
      <c r="D95" s="5" t="s">
        <v>391</v>
      </c>
      <c r="E95" s="5" t="s">
        <v>291</v>
      </c>
      <c r="F95" s="6" t="s">
        <v>15</v>
      </c>
      <c r="G95" s="6" t="s">
        <v>519</v>
      </c>
      <c r="H95" s="5"/>
      <c r="I95" s="7"/>
      <c r="J95" s="5"/>
    </row>
    <row r="96" customFormat="false" ht="23.85" hidden="false" customHeight="false" outlineLevel="0" collapsed="false">
      <c r="A96" s="8" t="s">
        <v>392</v>
      </c>
      <c r="B96" s="9" t="s">
        <v>393</v>
      </c>
      <c r="C96" s="4" t="s">
        <v>394</v>
      </c>
      <c r="D96" s="5" t="s">
        <v>395</v>
      </c>
      <c r="E96" s="5" t="s">
        <v>396</v>
      </c>
      <c r="F96" s="6" t="s">
        <v>15</v>
      </c>
      <c r="G96" s="6" t="s">
        <v>519</v>
      </c>
      <c r="H96" s="5"/>
      <c r="I96" s="7"/>
      <c r="J96" s="5"/>
    </row>
    <row r="97" customFormat="false" ht="15" hidden="false" customHeight="false" outlineLevel="0" collapsed="false">
      <c r="A97" s="8" t="s">
        <v>397</v>
      </c>
      <c r="B97" s="9" t="s">
        <v>393</v>
      </c>
      <c r="C97" s="4" t="s">
        <v>398</v>
      </c>
      <c r="D97" s="5" t="s">
        <v>399</v>
      </c>
      <c r="E97" s="5" t="s">
        <v>400</v>
      </c>
      <c r="F97" s="6" t="s">
        <v>21</v>
      </c>
      <c r="G97" s="6" t="s">
        <v>519</v>
      </c>
      <c r="H97" s="5"/>
      <c r="I97" s="7"/>
      <c r="J97" s="5"/>
    </row>
    <row r="98" customFormat="false" ht="15" hidden="false" customHeight="false" outlineLevel="0" collapsed="false">
      <c r="A98" s="8" t="s">
        <v>401</v>
      </c>
      <c r="B98" s="9" t="s">
        <v>393</v>
      </c>
      <c r="C98" s="4" t="s">
        <v>402</v>
      </c>
      <c r="D98" s="5" t="s">
        <v>403</v>
      </c>
      <c r="E98" s="5" t="s">
        <v>404</v>
      </c>
      <c r="F98" s="6" t="s">
        <v>15</v>
      </c>
      <c r="G98" s="6" t="s">
        <v>519</v>
      </c>
      <c r="H98" s="5"/>
      <c r="I98" s="7"/>
      <c r="J98" s="5"/>
    </row>
    <row r="99" customFormat="false" ht="15" hidden="false" customHeight="false" outlineLevel="0" collapsed="false">
      <c r="A99" s="8" t="s">
        <v>405</v>
      </c>
      <c r="B99" s="9" t="s">
        <v>393</v>
      </c>
      <c r="C99" s="4" t="s">
        <v>406</v>
      </c>
      <c r="D99" s="5" t="s">
        <v>407</v>
      </c>
      <c r="E99" s="5" t="s">
        <v>408</v>
      </c>
      <c r="F99" s="6" t="s">
        <v>15</v>
      </c>
      <c r="G99" s="6" t="s">
        <v>519</v>
      </c>
      <c r="H99" s="5"/>
      <c r="I99" s="7"/>
      <c r="J99" s="5"/>
    </row>
    <row r="100" customFormat="false" ht="15" hidden="false" customHeight="false" outlineLevel="0" collapsed="false">
      <c r="A100" s="8" t="s">
        <v>409</v>
      </c>
      <c r="B100" s="9" t="s">
        <v>393</v>
      </c>
      <c r="C100" s="4" t="s">
        <v>410</v>
      </c>
      <c r="D100" s="5" t="s">
        <v>411</v>
      </c>
      <c r="E100" s="5" t="s">
        <v>412</v>
      </c>
      <c r="F100" s="6" t="s">
        <v>15</v>
      </c>
      <c r="G100" s="6" t="s">
        <v>519</v>
      </c>
      <c r="H100" s="5"/>
      <c r="I100" s="7"/>
      <c r="J100" s="5"/>
    </row>
    <row r="101" customFormat="false" ht="15" hidden="false" customHeight="false" outlineLevel="0" collapsed="false">
      <c r="A101" s="8" t="s">
        <v>413</v>
      </c>
      <c r="B101" s="9" t="s">
        <v>393</v>
      </c>
      <c r="C101" s="4" t="s">
        <v>414</v>
      </c>
      <c r="D101" s="5" t="s">
        <v>415</v>
      </c>
      <c r="E101" s="5" t="s">
        <v>416</v>
      </c>
      <c r="F101" s="6" t="s">
        <v>15</v>
      </c>
      <c r="G101" s="6" t="s">
        <v>16</v>
      </c>
      <c r="H101" s="5"/>
      <c r="I101" s="7"/>
      <c r="J101" s="5"/>
    </row>
    <row r="102" customFormat="false" ht="15" hidden="false" customHeight="false" outlineLevel="0" collapsed="false">
      <c r="A102" s="8" t="s">
        <v>417</v>
      </c>
      <c r="B102" s="9" t="s">
        <v>393</v>
      </c>
      <c r="C102" s="4" t="s">
        <v>418</v>
      </c>
      <c r="D102" s="5" t="s">
        <v>419</v>
      </c>
      <c r="E102" s="5" t="s">
        <v>420</v>
      </c>
      <c r="F102" s="6" t="s">
        <v>15</v>
      </c>
      <c r="G102" s="6" t="s">
        <v>16</v>
      </c>
      <c r="H102" s="5"/>
      <c r="I102" s="7"/>
      <c r="J102" s="5"/>
    </row>
    <row r="103" customFormat="false" ht="15" hidden="false" customHeight="false" outlineLevel="0" collapsed="false">
      <c r="A103" s="8" t="s">
        <v>421</v>
      </c>
      <c r="B103" s="9" t="s">
        <v>393</v>
      </c>
      <c r="C103" s="4" t="s">
        <v>422</v>
      </c>
      <c r="D103" s="5" t="s">
        <v>423</v>
      </c>
      <c r="E103" s="5" t="s">
        <v>424</v>
      </c>
      <c r="F103" s="6" t="s">
        <v>21</v>
      </c>
      <c r="G103" s="6" t="s">
        <v>16</v>
      </c>
      <c r="H103" s="5"/>
      <c r="I103" s="7"/>
      <c r="J103" s="5"/>
    </row>
    <row r="104" customFormat="false" ht="15" hidden="false" customHeight="false" outlineLevel="0" collapsed="false">
      <c r="A104" s="8" t="s">
        <v>425</v>
      </c>
      <c r="B104" s="9" t="s">
        <v>393</v>
      </c>
      <c r="C104" s="4" t="s">
        <v>426</v>
      </c>
      <c r="D104" s="5" t="s">
        <v>427</v>
      </c>
      <c r="E104" s="5" t="s">
        <v>428</v>
      </c>
      <c r="F104" s="6" t="s">
        <v>21</v>
      </c>
      <c r="G104" s="6" t="s">
        <v>16</v>
      </c>
      <c r="H104" s="5"/>
      <c r="I104" s="7"/>
      <c r="J104" s="5"/>
    </row>
    <row r="105" customFormat="false" ht="15" hidden="false" customHeight="false" outlineLevel="0" collapsed="false">
      <c r="A105" s="8" t="s">
        <v>429</v>
      </c>
      <c r="B105" s="9" t="s">
        <v>393</v>
      </c>
      <c r="C105" s="4" t="s">
        <v>430</v>
      </c>
      <c r="D105" s="5" t="s">
        <v>431</v>
      </c>
      <c r="E105" s="5" t="s">
        <v>432</v>
      </c>
      <c r="F105" s="6" t="s">
        <v>21</v>
      </c>
      <c r="G105" s="6" t="s">
        <v>16</v>
      </c>
      <c r="H105" s="5"/>
      <c r="I105" s="7"/>
      <c r="J105" s="5"/>
    </row>
    <row r="106" customFormat="false" ht="23.85" hidden="false" customHeight="false" outlineLevel="0" collapsed="false">
      <c r="A106" s="2" t="s">
        <v>433</v>
      </c>
      <c r="B106" s="3" t="s">
        <v>434</v>
      </c>
      <c r="C106" s="4" t="s">
        <v>435</v>
      </c>
      <c r="D106" s="5" t="s">
        <v>436</v>
      </c>
      <c r="E106" s="5" t="s">
        <v>437</v>
      </c>
      <c r="F106" s="6" t="s">
        <v>15</v>
      </c>
      <c r="G106" s="6" t="s">
        <v>16</v>
      </c>
      <c r="H106" s="5"/>
      <c r="I106" s="7"/>
      <c r="J106" s="5"/>
    </row>
    <row r="107" customFormat="false" ht="23.85" hidden="false" customHeight="false" outlineLevel="0" collapsed="false">
      <c r="A107" s="2" t="s">
        <v>438</v>
      </c>
      <c r="B107" s="3" t="s">
        <v>434</v>
      </c>
      <c r="C107" s="4" t="s">
        <v>439</v>
      </c>
      <c r="D107" s="5" t="s">
        <v>440</v>
      </c>
      <c r="E107" s="5" t="s">
        <v>437</v>
      </c>
      <c r="F107" s="6" t="s">
        <v>15</v>
      </c>
      <c r="G107" s="6" t="s">
        <v>16</v>
      </c>
      <c r="H107" s="5"/>
      <c r="I107" s="7"/>
      <c r="J107" s="5"/>
    </row>
    <row r="108" customFormat="false" ht="23.85" hidden="false" customHeight="false" outlineLevel="0" collapsed="false">
      <c r="A108" s="2" t="s">
        <v>441</v>
      </c>
      <c r="B108" s="3" t="s">
        <v>434</v>
      </c>
      <c r="C108" s="4" t="s">
        <v>442</v>
      </c>
      <c r="D108" s="5" t="s">
        <v>443</v>
      </c>
      <c r="E108" s="5" t="s">
        <v>437</v>
      </c>
      <c r="F108" s="6" t="s">
        <v>15</v>
      </c>
      <c r="G108" s="6" t="s">
        <v>16</v>
      </c>
      <c r="H108" s="5"/>
      <c r="I108" s="7"/>
      <c r="J108" s="5"/>
    </row>
    <row r="109" customFormat="false" ht="15" hidden="false" customHeight="false" outlineLevel="0" collapsed="false">
      <c r="A109" s="2" t="s">
        <v>444</v>
      </c>
      <c r="B109" s="3" t="s">
        <v>434</v>
      </c>
      <c r="C109" s="4" t="s">
        <v>445</v>
      </c>
      <c r="D109" s="5" t="s">
        <v>446</v>
      </c>
      <c r="E109" s="5" t="s">
        <v>437</v>
      </c>
      <c r="F109" s="6" t="s">
        <v>15</v>
      </c>
      <c r="G109" s="6" t="s">
        <v>16</v>
      </c>
      <c r="H109" s="5"/>
      <c r="I109" s="7"/>
      <c r="J109" s="5"/>
    </row>
    <row r="110" customFormat="false" ht="23.85" hidden="false" customHeight="false" outlineLevel="0" collapsed="false">
      <c r="A110" s="2" t="s">
        <v>447</v>
      </c>
      <c r="B110" s="3" t="s">
        <v>434</v>
      </c>
      <c r="C110" s="4" t="s">
        <v>448</v>
      </c>
      <c r="D110" s="5" t="s">
        <v>449</v>
      </c>
      <c r="E110" s="5" t="s">
        <v>450</v>
      </c>
      <c r="F110" s="6" t="s">
        <v>15</v>
      </c>
      <c r="G110" s="6" t="s">
        <v>16</v>
      </c>
      <c r="H110" s="5"/>
      <c r="I110" s="7"/>
      <c r="J110" s="5"/>
    </row>
    <row r="111" customFormat="false" ht="15" hidden="false" customHeight="false" outlineLevel="0" collapsed="false">
      <c r="A111" s="2" t="s">
        <v>451</v>
      </c>
      <c r="B111" s="3" t="s">
        <v>434</v>
      </c>
      <c r="C111" s="4" t="s">
        <v>452</v>
      </c>
      <c r="D111" s="5" t="s">
        <v>453</v>
      </c>
      <c r="E111" s="5" t="s">
        <v>57</v>
      </c>
      <c r="F111" s="6" t="s">
        <v>21</v>
      </c>
      <c r="G111" s="6" t="s">
        <v>16</v>
      </c>
      <c r="H111" s="5"/>
      <c r="I111" s="7"/>
      <c r="J111" s="5"/>
    </row>
    <row r="112" customFormat="false" ht="15" hidden="false" customHeight="false" outlineLevel="0" collapsed="false">
      <c r="A112" s="2" t="s">
        <v>454</v>
      </c>
      <c r="B112" s="3" t="s">
        <v>434</v>
      </c>
      <c r="C112" s="4" t="s">
        <v>455</v>
      </c>
      <c r="D112" s="5" t="s">
        <v>456</v>
      </c>
      <c r="E112" s="5" t="s">
        <v>457</v>
      </c>
      <c r="F112" s="6" t="s">
        <v>15</v>
      </c>
      <c r="G112" s="6" t="s">
        <v>16</v>
      </c>
      <c r="H112" s="5"/>
      <c r="I112" s="7"/>
      <c r="J112" s="5"/>
    </row>
    <row r="113" customFormat="false" ht="15" hidden="false" customHeight="false" outlineLevel="0" collapsed="false">
      <c r="A113" s="8" t="s">
        <v>458</v>
      </c>
      <c r="B113" s="9" t="s">
        <v>459</v>
      </c>
      <c r="C113" s="4" t="s">
        <v>460</v>
      </c>
      <c r="D113" s="5" t="s">
        <v>461</v>
      </c>
      <c r="E113" s="5" t="s">
        <v>89</v>
      </c>
      <c r="F113" s="6" t="s">
        <v>21</v>
      </c>
      <c r="G113" s="6" t="s">
        <v>16</v>
      </c>
      <c r="H113" s="5"/>
      <c r="I113" s="7"/>
      <c r="J113" s="5"/>
    </row>
    <row r="114" customFormat="false" ht="15" hidden="false" customHeight="false" outlineLevel="0" collapsed="false">
      <c r="A114" s="8" t="s">
        <v>462</v>
      </c>
      <c r="B114" s="9" t="s">
        <v>459</v>
      </c>
      <c r="C114" s="4" t="s">
        <v>463</v>
      </c>
      <c r="D114" s="5" t="s">
        <v>464</v>
      </c>
      <c r="E114" s="5" t="s">
        <v>465</v>
      </c>
      <c r="F114" s="6" t="s">
        <v>21</v>
      </c>
      <c r="G114" s="6" t="s">
        <v>16</v>
      </c>
      <c r="H114" s="5"/>
      <c r="I114" s="7"/>
      <c r="J114" s="5"/>
    </row>
    <row r="115" customFormat="false" ht="15" hidden="false" customHeight="false" outlineLevel="0" collapsed="false">
      <c r="A115" s="8" t="s">
        <v>466</v>
      </c>
      <c r="B115" s="9" t="s">
        <v>459</v>
      </c>
      <c r="C115" s="4" t="s">
        <v>467</v>
      </c>
      <c r="D115" s="5" t="s">
        <v>468</v>
      </c>
      <c r="E115" s="5" t="s">
        <v>469</v>
      </c>
      <c r="F115" s="6" t="s">
        <v>15</v>
      </c>
      <c r="G115" s="6" t="s">
        <v>16</v>
      </c>
      <c r="H115" s="5"/>
      <c r="I115" s="7"/>
      <c r="J115" s="5"/>
    </row>
    <row r="116" customFormat="false" ht="15" hidden="false" customHeight="false" outlineLevel="0" collapsed="false">
      <c r="A116" s="8" t="s">
        <v>470</v>
      </c>
      <c r="B116" s="9" t="s">
        <v>459</v>
      </c>
      <c r="C116" s="4" t="s">
        <v>471</v>
      </c>
      <c r="D116" s="5" t="s">
        <v>472</v>
      </c>
      <c r="E116" s="5" t="s">
        <v>473</v>
      </c>
      <c r="F116" s="6" t="s">
        <v>15</v>
      </c>
      <c r="G116" s="6" t="s">
        <v>16</v>
      </c>
      <c r="H116" s="5"/>
      <c r="I116" s="7"/>
      <c r="J116" s="5"/>
    </row>
    <row r="117" customFormat="false" ht="15" hidden="false" customHeight="false" outlineLevel="0" collapsed="false">
      <c r="A117" s="8" t="s">
        <v>474</v>
      </c>
      <c r="B117" s="9" t="s">
        <v>459</v>
      </c>
      <c r="C117" s="4" t="s">
        <v>475</v>
      </c>
      <c r="D117" s="5" t="s">
        <v>476</v>
      </c>
      <c r="E117" s="5" t="s">
        <v>477</v>
      </c>
      <c r="F117" s="6" t="s">
        <v>21</v>
      </c>
      <c r="G117" s="6" t="s">
        <v>16</v>
      </c>
      <c r="H117" s="5"/>
      <c r="I117" s="7"/>
      <c r="J117" s="5"/>
    </row>
    <row r="118" customFormat="false" ht="15" hidden="false" customHeight="false" outlineLevel="0" collapsed="false">
      <c r="A118" s="8" t="s">
        <v>478</v>
      </c>
      <c r="B118" s="9" t="s">
        <v>459</v>
      </c>
      <c r="C118" s="4" t="s">
        <v>479</v>
      </c>
      <c r="D118" s="5" t="s">
        <v>480</v>
      </c>
      <c r="E118" s="5" t="s">
        <v>481</v>
      </c>
      <c r="F118" s="6" t="s">
        <v>15</v>
      </c>
      <c r="G118" s="6" t="s">
        <v>16</v>
      </c>
      <c r="H118" s="5"/>
      <c r="I118" s="7"/>
      <c r="J118" s="5"/>
    </row>
    <row r="119" customFormat="false" ht="15" hidden="false" customHeight="false" outlineLevel="0" collapsed="false">
      <c r="A119" s="8" t="s">
        <v>482</v>
      </c>
      <c r="B119" s="9" t="s">
        <v>459</v>
      </c>
      <c r="C119" s="4" t="s">
        <v>483</v>
      </c>
      <c r="D119" s="5" t="s">
        <v>484</v>
      </c>
      <c r="E119" s="5" t="s">
        <v>485</v>
      </c>
      <c r="F119" s="6" t="s">
        <v>15</v>
      </c>
      <c r="G119" s="6" t="s">
        <v>16</v>
      </c>
      <c r="H119" s="5"/>
      <c r="I119" s="7"/>
      <c r="J119" s="5"/>
    </row>
    <row r="120" customFormat="false" ht="23.85" hidden="false" customHeight="false" outlineLevel="0" collapsed="false">
      <c r="A120" s="8" t="s">
        <v>486</v>
      </c>
      <c r="B120" s="9" t="s">
        <v>459</v>
      </c>
      <c r="C120" s="4" t="s">
        <v>487</v>
      </c>
      <c r="D120" s="5" t="s">
        <v>488</v>
      </c>
      <c r="E120" s="5" t="s">
        <v>489</v>
      </c>
      <c r="F120" s="6" t="s">
        <v>15</v>
      </c>
      <c r="G120" s="6" t="s">
        <v>16</v>
      </c>
      <c r="H120" s="5"/>
      <c r="I120" s="7"/>
      <c r="J120" s="5"/>
    </row>
    <row r="121" customFormat="false" ht="15" hidden="false" customHeight="false" outlineLevel="0" collapsed="false">
      <c r="A121" s="8" t="s">
        <v>490</v>
      </c>
      <c r="B121" s="9" t="s">
        <v>459</v>
      </c>
      <c r="C121" s="4" t="s">
        <v>491</v>
      </c>
      <c r="D121" s="5" t="s">
        <v>492</v>
      </c>
      <c r="E121" s="5" t="s">
        <v>493</v>
      </c>
      <c r="F121" s="6" t="s">
        <v>21</v>
      </c>
      <c r="G121" s="6" t="s">
        <v>16</v>
      </c>
      <c r="H121" s="5"/>
      <c r="I121" s="7"/>
      <c r="J121" s="5"/>
    </row>
    <row r="122" customFormat="false" ht="23.85" hidden="false" customHeight="false" outlineLevel="0" collapsed="false">
      <c r="A122" s="8" t="s">
        <v>494</v>
      </c>
      <c r="B122" s="9" t="s">
        <v>459</v>
      </c>
      <c r="C122" s="4" t="s">
        <v>495</v>
      </c>
      <c r="D122" s="5" t="s">
        <v>496</v>
      </c>
      <c r="E122" s="5" t="s">
        <v>497</v>
      </c>
      <c r="F122" s="6" t="s">
        <v>15</v>
      </c>
      <c r="G122" s="6" t="s">
        <v>16</v>
      </c>
      <c r="H122" s="5"/>
      <c r="I122" s="7"/>
      <c r="J122" s="5"/>
    </row>
    <row r="123" customFormat="false" ht="23.85" hidden="false" customHeight="false" outlineLevel="0" collapsed="false">
      <c r="A123" s="8" t="s">
        <v>498</v>
      </c>
      <c r="B123" s="9" t="s">
        <v>459</v>
      </c>
      <c r="C123" s="4" t="s">
        <v>499</v>
      </c>
      <c r="D123" s="5" t="s">
        <v>500</v>
      </c>
      <c r="E123" s="5" t="s">
        <v>501</v>
      </c>
      <c r="F123" s="6" t="s">
        <v>21</v>
      </c>
      <c r="G123" s="6" t="s">
        <v>16</v>
      </c>
      <c r="H123" s="5"/>
      <c r="I123" s="7"/>
      <c r="J123" s="5"/>
    </row>
    <row r="124" customFormat="false" ht="15" hidden="false" customHeight="false" outlineLevel="0" collapsed="false">
      <c r="A124" s="8" t="s">
        <v>502</v>
      </c>
      <c r="B124" s="9" t="s">
        <v>459</v>
      </c>
      <c r="C124" s="4" t="s">
        <v>503</v>
      </c>
      <c r="D124" s="5" t="s">
        <v>504</v>
      </c>
      <c r="E124" s="5" t="s">
        <v>505</v>
      </c>
      <c r="F124" s="6" t="s">
        <v>15</v>
      </c>
      <c r="G124" s="6" t="s">
        <v>16</v>
      </c>
      <c r="H124" s="5"/>
      <c r="I124" s="7"/>
      <c r="J124" s="5"/>
    </row>
    <row r="125" customFormat="false" ht="15" hidden="false" customHeight="false" outlineLevel="0" collapsed="false">
      <c r="A125" s="8" t="s">
        <v>506</v>
      </c>
      <c r="B125" s="9" t="s">
        <v>459</v>
      </c>
      <c r="C125" s="4" t="s">
        <v>507</v>
      </c>
      <c r="D125" s="5" t="s">
        <v>508</v>
      </c>
      <c r="E125" s="5" t="s">
        <v>509</v>
      </c>
      <c r="F125" s="6" t="s">
        <v>15</v>
      </c>
      <c r="G125" s="6" t="s">
        <v>16</v>
      </c>
      <c r="H125" s="5"/>
      <c r="I125" s="7"/>
      <c r="J125" s="5"/>
    </row>
    <row r="126" customFormat="false" ht="23.85" hidden="false" customHeight="false" outlineLevel="0" collapsed="false">
      <c r="A126" s="8" t="s">
        <v>510</v>
      </c>
      <c r="B126" s="9" t="s">
        <v>459</v>
      </c>
      <c r="C126" s="4" t="s">
        <v>511</v>
      </c>
      <c r="D126" s="5" t="s">
        <v>512</v>
      </c>
      <c r="E126" s="5" t="s">
        <v>513</v>
      </c>
      <c r="F126" s="6" t="s">
        <v>21</v>
      </c>
      <c r="G126" s="6" t="s">
        <v>16</v>
      </c>
      <c r="H126" s="5"/>
      <c r="I126" s="7"/>
      <c r="J126" s="5"/>
    </row>
  </sheetData>
  <autoFilter ref="A1:J126"/>
  <conditionalFormatting sqref="G2:G500">
    <cfRule type="cellIs" priority="2" operator="equal" aboveAverage="0" equalAverage="0" bottom="0" percent="0" rank="0" text="" dxfId="4">
      <formula>"Done"</formula>
    </cfRule>
    <cfRule type="cellIs" priority="3" operator="equal" aboveAverage="0" equalAverage="0" bottom="0" percent="0" rank="0" text="" dxfId="5">
      <formula>"In Progress"</formula>
    </cfRule>
    <cfRule type="cellIs" priority="4" operator="equal" aboveAverage="0" equalAverage="0" bottom="0" percent="0" rank="0" text="" dxfId="6">
      <formula>"In Review"</formula>
    </cfRule>
    <cfRule type="cellIs" priority="5" operator="equal" aboveAverage="0" equalAverage="0" bottom="0" percent="0" rank="0" text="" dxfId="7">
      <formula>"Blocked"</formula>
    </cfRule>
  </conditionalFormatting>
  <conditionalFormatting sqref="H2:H500">
    <cfRule type="expression" priority="6" aboveAverage="0" equalAverage="0" bottom="0" percent="0" rank="0" text="" dxfId="8">
      <formula>AND($G2="Done",$H2="")</formula>
    </cfRule>
  </conditionalFormatting>
  <dataValidations count="3">
    <dataValidation allowBlank="false" error="Choose a status from the list." errorStyle="stop" errorTitle="Status" operator="between" showDropDown="false" showErrorMessage="true" showInputMessage="false" sqref="G2:G500" type="list">
      <formula1>"Not Started,In Progress,In Review,Done,Blocked"</formula1>
      <formula2>0</formula2>
    </dataValidation>
    <dataValidation allowBlank="false" error="Must, Should or Could." errorStyle="stop" errorTitle="Priority" operator="between" showDropDown="false" showErrorMessage="true" showInputMessage="false" sqref="F2:F500" type="list">
      <formula1>"Must,Should,Could"</formula1>
      <formula2>0</formula2>
    </dataValidation>
    <dataValidation allowBlank="true" error="Enter a valid date, e.g. 2026-09-25." errorStyle="stop" errorTitle="Date" operator="greaterThan" showDropDown="false" showErrorMessage="true" showInputMessage="false" sqref="I2:I500" type="date">
      <formula1>36526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s>
  <sheetData>
    <row r="1" customFormat="false" ht="18.55" hidden="false" customHeight="false" outlineLevel="0" collapsed="false">
      <c r="A1" s="10" t="s">
        <v>514</v>
      </c>
    </row>
    <row r="2" customFormat="false" ht="15" hidden="false" customHeight="false" outlineLevel="0" collapsed="false">
      <c r="A2" s="11" t="s">
        <v>515</v>
      </c>
    </row>
    <row r="4" customFormat="false" ht="15" hidden="false" customHeight="false" outlineLevel="0" collapsed="false">
      <c r="A4" s="12" t="s">
        <v>516</v>
      </c>
      <c r="B4" s="13" t="s">
        <v>517</v>
      </c>
    </row>
    <row r="5" customFormat="false" ht="15" hidden="false" customHeight="false" outlineLevel="0" collapsed="false">
      <c r="A5" s="14" t="s">
        <v>518</v>
      </c>
      <c r="B5" s="15" t="n">
        <f aca="false">COUNTA('Frontend Tasks'!$A$2:$A$500)</f>
        <v>125</v>
      </c>
    </row>
    <row r="6" customFormat="false" ht="15" hidden="false" customHeight="false" outlineLevel="0" collapsed="false">
      <c r="A6" s="16" t="s">
        <v>519</v>
      </c>
      <c r="B6" s="15" t="n">
        <f aca="false">COUNTIF('Frontend Tasks'!$G$2:$G$500,"Done")</f>
        <v>0</v>
      </c>
    </row>
    <row r="7" customFormat="false" ht="15" hidden="false" customHeight="false" outlineLevel="0" collapsed="false">
      <c r="A7" s="16" t="s">
        <v>520</v>
      </c>
      <c r="B7" s="15" t="n">
        <f aca="false">COUNTIF('Frontend Tasks'!$G$2:$G$500,"In Review")</f>
        <v>0</v>
      </c>
    </row>
    <row r="8" customFormat="false" ht="15" hidden="false" customHeight="false" outlineLevel="0" collapsed="false">
      <c r="A8" s="16" t="s">
        <v>521</v>
      </c>
      <c r="B8" s="15" t="n">
        <f aca="false">COUNTIF('Frontend Tasks'!$G$2:$G$500,"In Progress")</f>
        <v>0</v>
      </c>
    </row>
    <row r="9" customFormat="false" ht="15" hidden="false" customHeight="false" outlineLevel="0" collapsed="false">
      <c r="A9" s="16" t="s">
        <v>522</v>
      </c>
      <c r="B9" s="15" t="n">
        <f aca="false">COUNTIF('Frontend Tasks'!$G$2:$G$500,"Blocked")</f>
        <v>0</v>
      </c>
    </row>
    <row r="10" customFormat="false" ht="15" hidden="false" customHeight="false" outlineLevel="0" collapsed="false">
      <c r="A10" s="16" t="s">
        <v>16</v>
      </c>
      <c r="B10" s="15" t="n">
        <f aca="false">COUNTIF('Frontend Tasks'!$G$2:$G$500,"Not Started")</f>
        <v>125</v>
      </c>
    </row>
    <row r="11" customFormat="false" ht="15" hidden="false" customHeight="false" outlineLevel="0" collapsed="false">
      <c r="A11" s="14" t="s">
        <v>523</v>
      </c>
      <c r="B11" s="17" t="n">
        <f aca="false">IF(B5=0,0,B6/B5)</f>
        <v>0</v>
      </c>
    </row>
    <row r="13" customFormat="false" ht="15" hidden="false" customHeight="false" outlineLevel="0" collapsed="false">
      <c r="A13" s="12" t="s">
        <v>1</v>
      </c>
      <c r="B13" s="13" t="s">
        <v>524</v>
      </c>
      <c r="C13" s="13" t="s">
        <v>519</v>
      </c>
      <c r="D13" s="13" t="s">
        <v>521</v>
      </c>
      <c r="E13" s="13" t="s">
        <v>525</v>
      </c>
    </row>
    <row r="14" customFormat="false" ht="15" hidden="false" customHeight="false" outlineLevel="0" collapsed="false">
      <c r="A14" s="16" t="s">
        <v>11</v>
      </c>
      <c r="B14" s="15" t="n">
        <f aca="false">COUNTIF('Frontend Tasks'!$B$2:$B$500,A14)</f>
        <v>21</v>
      </c>
      <c r="C14" s="15" t="n">
        <f aca="false">COUNTIFS('Frontend Tasks'!$B$2:$B$500,A14,'Frontend Tasks'!$G$2:$G$500,"Done")</f>
        <v>0</v>
      </c>
      <c r="D14" s="15" t="n">
        <f aca="false">COUNTIFS('Frontend Tasks'!$B$2:$B$500,A14,'Frontend Tasks'!$G$2:$G$500,"In Progress")</f>
        <v>0</v>
      </c>
      <c r="E14" s="18" t="n">
        <f aca="false">IF(B14=0,0,C14/B14)</f>
        <v>0</v>
      </c>
    </row>
    <row r="15" customFormat="false" ht="15" hidden="false" customHeight="false" outlineLevel="0" collapsed="false">
      <c r="A15" s="16" t="s">
        <v>99</v>
      </c>
      <c r="B15" s="15" t="n">
        <f aca="false">COUNTIF('Frontend Tasks'!$B$2:$B$500,A15)</f>
        <v>19</v>
      </c>
      <c r="C15" s="15" t="n">
        <f aca="false">COUNTIFS('Frontend Tasks'!$B$2:$B$500,A15,'Frontend Tasks'!$G$2:$G$500,"Done")</f>
        <v>0</v>
      </c>
      <c r="D15" s="15" t="n">
        <f aca="false">COUNTIFS('Frontend Tasks'!$B$2:$B$500,A15,'Frontend Tasks'!$G$2:$G$500,"In Progress")</f>
        <v>0</v>
      </c>
      <c r="E15" s="18" t="n">
        <f aca="false">IF(B15=0,0,C15/B15)</f>
        <v>0</v>
      </c>
    </row>
    <row r="16" customFormat="false" ht="15" hidden="false" customHeight="false" outlineLevel="0" collapsed="false">
      <c r="A16" s="16" t="s">
        <v>177</v>
      </c>
      <c r="B16" s="15" t="n">
        <f aca="false">COUNTIF('Frontend Tasks'!$B$2:$B$500,A16)</f>
        <v>13</v>
      </c>
      <c r="C16" s="15" t="n">
        <f aca="false">COUNTIFS('Frontend Tasks'!$B$2:$B$500,A16,'Frontend Tasks'!$G$2:$G$500,"Done")</f>
        <v>0</v>
      </c>
      <c r="D16" s="15" t="n">
        <f aca="false">COUNTIFS('Frontend Tasks'!$B$2:$B$500,A16,'Frontend Tasks'!$G$2:$G$500,"In Progress")</f>
        <v>0</v>
      </c>
      <c r="E16" s="18" t="n">
        <f aca="false">IF(B16=0,0,C16/B16)</f>
        <v>0</v>
      </c>
    </row>
    <row r="17" customFormat="false" ht="15" hidden="false" customHeight="false" outlineLevel="0" collapsed="false">
      <c r="A17" s="16" t="s">
        <v>227</v>
      </c>
      <c r="B17" s="15" t="n">
        <f aca="false">COUNTIF('Frontend Tasks'!$B$2:$B$500,A17)</f>
        <v>8</v>
      </c>
      <c r="C17" s="15" t="n">
        <f aca="false">COUNTIFS('Frontend Tasks'!$B$2:$B$500,A17,'Frontend Tasks'!$G$2:$G$500,"Done")</f>
        <v>0</v>
      </c>
      <c r="D17" s="15" t="n">
        <f aca="false">COUNTIFS('Frontend Tasks'!$B$2:$B$500,A17,'Frontend Tasks'!$G$2:$G$500,"In Progress")</f>
        <v>0</v>
      </c>
      <c r="E17" s="18" t="n">
        <f aca="false">IF(B17=0,0,C17/B17)</f>
        <v>0</v>
      </c>
    </row>
    <row r="18" customFormat="false" ht="15" hidden="false" customHeight="false" outlineLevel="0" collapsed="false">
      <c r="A18" s="16" t="s">
        <v>260</v>
      </c>
      <c r="B18" s="15" t="n">
        <f aca="false">COUNTIF('Frontend Tasks'!$B$2:$B$500,A18)</f>
        <v>8</v>
      </c>
      <c r="C18" s="15" t="n">
        <f aca="false">COUNTIFS('Frontend Tasks'!$B$2:$B$500,A18,'Frontend Tasks'!$G$2:$G$500,"Done")</f>
        <v>0</v>
      </c>
      <c r="D18" s="15" t="n">
        <f aca="false">COUNTIFS('Frontend Tasks'!$B$2:$B$500,A18,'Frontend Tasks'!$G$2:$G$500,"In Progress")</f>
        <v>0</v>
      </c>
      <c r="E18" s="18" t="n">
        <f aca="false">IF(B18=0,0,C18/B18)</f>
        <v>0</v>
      </c>
    </row>
    <row r="19" customFormat="false" ht="15" hidden="false" customHeight="false" outlineLevel="0" collapsed="false">
      <c r="A19" s="16" t="s">
        <v>293</v>
      </c>
      <c r="B19" s="15" t="n">
        <f aca="false">COUNTIF('Frontend Tasks'!$B$2:$B$500,A19)</f>
        <v>10</v>
      </c>
      <c r="C19" s="15" t="n">
        <f aca="false">COUNTIFS('Frontend Tasks'!$B$2:$B$500,A19,'Frontend Tasks'!$G$2:$G$500,"Done")</f>
        <v>0</v>
      </c>
      <c r="D19" s="15" t="n">
        <f aca="false">COUNTIFS('Frontend Tasks'!$B$2:$B$500,A19,'Frontend Tasks'!$G$2:$G$500,"In Progress")</f>
        <v>0</v>
      </c>
      <c r="E19" s="18" t="n">
        <f aca="false">IF(B19=0,0,C19/B19)</f>
        <v>0</v>
      </c>
    </row>
    <row r="20" customFormat="false" ht="15" hidden="false" customHeight="false" outlineLevel="0" collapsed="false">
      <c r="A20" s="16" t="s">
        <v>334</v>
      </c>
      <c r="B20" s="15" t="n">
        <f aca="false">COUNTIF('Frontend Tasks'!$B$2:$B$500,A20)</f>
        <v>15</v>
      </c>
      <c r="C20" s="15" t="n">
        <f aca="false">COUNTIFS('Frontend Tasks'!$B$2:$B$500,A20,'Frontend Tasks'!$G$2:$G$500,"Done")</f>
        <v>0</v>
      </c>
      <c r="D20" s="15" t="n">
        <f aca="false">COUNTIFS('Frontend Tasks'!$B$2:$B$500,A20,'Frontend Tasks'!$G$2:$G$500,"In Progress")</f>
        <v>0</v>
      </c>
      <c r="E20" s="18" t="n">
        <f aca="false">IF(B20=0,0,C20/B20)</f>
        <v>0</v>
      </c>
    </row>
    <row r="21" customFormat="false" ht="15" hidden="false" customHeight="false" outlineLevel="0" collapsed="false">
      <c r="A21" s="16" t="s">
        <v>393</v>
      </c>
      <c r="B21" s="15" t="n">
        <f aca="false">COUNTIF('Frontend Tasks'!$B$2:$B$500,A21)</f>
        <v>10</v>
      </c>
      <c r="C21" s="15" t="n">
        <f aca="false">COUNTIFS('Frontend Tasks'!$B$2:$B$500,A21,'Frontend Tasks'!$G$2:$G$500,"Done")</f>
        <v>0</v>
      </c>
      <c r="D21" s="15" t="n">
        <f aca="false">COUNTIFS('Frontend Tasks'!$B$2:$B$500,A21,'Frontend Tasks'!$G$2:$G$500,"In Progress")</f>
        <v>0</v>
      </c>
      <c r="E21" s="18" t="n">
        <f aca="false">IF(B21=0,0,C21/B21)</f>
        <v>0</v>
      </c>
    </row>
    <row r="22" customFormat="false" ht="15" hidden="false" customHeight="false" outlineLevel="0" collapsed="false">
      <c r="A22" s="16" t="s">
        <v>434</v>
      </c>
      <c r="B22" s="15" t="n">
        <f aca="false">COUNTIF('Frontend Tasks'!$B$2:$B$500,A22)</f>
        <v>7</v>
      </c>
      <c r="C22" s="15" t="n">
        <f aca="false">COUNTIFS('Frontend Tasks'!$B$2:$B$500,A22,'Frontend Tasks'!$G$2:$G$500,"Done")</f>
        <v>0</v>
      </c>
      <c r="D22" s="15" t="n">
        <f aca="false">COUNTIFS('Frontend Tasks'!$B$2:$B$500,A22,'Frontend Tasks'!$G$2:$G$500,"In Progress")</f>
        <v>0</v>
      </c>
      <c r="E22" s="18" t="n">
        <f aca="false">IF(B22=0,0,C22/B22)</f>
        <v>0</v>
      </c>
    </row>
    <row r="23" customFormat="false" ht="15" hidden="false" customHeight="false" outlineLevel="0" collapsed="false">
      <c r="A23" s="16" t="s">
        <v>459</v>
      </c>
      <c r="B23" s="15" t="n">
        <f aca="false">COUNTIF('Frontend Tasks'!$B$2:$B$500,A23)</f>
        <v>14</v>
      </c>
      <c r="C23" s="15" t="n">
        <f aca="false">COUNTIFS('Frontend Tasks'!$B$2:$B$500,A23,'Frontend Tasks'!$G$2:$G$500,"Done")</f>
        <v>0</v>
      </c>
      <c r="D23" s="15" t="n">
        <f aca="false">COUNTIFS('Frontend Tasks'!$B$2:$B$500,A23,'Frontend Tasks'!$G$2:$G$500,"In Progress")</f>
        <v>0</v>
      </c>
      <c r="E23" s="18" t="n">
        <f aca="false">IF(B23=0,0,C23/B23)</f>
        <v>0</v>
      </c>
    </row>
    <row r="24" customFormat="false" ht="15" hidden="false" customHeight="false" outlineLevel="0" collapsed="false">
      <c r="A24" s="14" t="s">
        <v>524</v>
      </c>
      <c r="B24" s="19" t="n">
        <f aca="false">SUM(B14:B23)</f>
        <v>125</v>
      </c>
      <c r="C24" s="19" t="n">
        <f aca="false">SUM(C14:C23)</f>
        <v>0</v>
      </c>
      <c r="D24" s="19" t="n">
        <f aca="false">SUM(D14:D23)</f>
        <v>0</v>
      </c>
      <c r="E24" s="20" t="n">
        <f aca="false">IF(B24=0,0,C24/B24)</f>
        <v>0</v>
      </c>
    </row>
    <row r="26" customFormat="false" ht="15" hidden="false" customHeight="false" outlineLevel="0" collapsed="false">
      <c r="A26" s="12" t="s">
        <v>5</v>
      </c>
      <c r="B26" s="13" t="s">
        <v>524</v>
      </c>
      <c r="C26" s="13" t="s">
        <v>519</v>
      </c>
      <c r="D26" s="13" t="s">
        <v>521</v>
      </c>
      <c r="E26" s="13" t="s">
        <v>525</v>
      </c>
    </row>
    <row r="27" customFormat="false" ht="15" hidden="false" customHeight="false" outlineLevel="0" collapsed="false">
      <c r="A27" s="16" t="s">
        <v>15</v>
      </c>
      <c r="B27" s="15" t="n">
        <f aca="false">COUNTIF('Frontend Tasks'!$F$2:$F$500,A27)</f>
        <v>92</v>
      </c>
      <c r="C27" s="15" t="n">
        <f aca="false">COUNTIFS('Frontend Tasks'!$F$2:$F$500,A27,'Frontend Tasks'!$G$2:$G$500,"Done")</f>
        <v>0</v>
      </c>
      <c r="D27" s="15" t="n">
        <f aca="false">COUNTIFS('Frontend Tasks'!$F$2:$F$500,A27,'Frontend Tasks'!$G$2:$G$500,"In Progress")</f>
        <v>0</v>
      </c>
      <c r="E27" s="18" t="n">
        <f aca="false">IF(B27=0,0,C27/B27)</f>
        <v>0</v>
      </c>
    </row>
    <row r="28" customFormat="false" ht="15" hidden="false" customHeight="false" outlineLevel="0" collapsed="false">
      <c r="A28" s="16" t="s">
        <v>21</v>
      </c>
      <c r="B28" s="15" t="n">
        <f aca="false">COUNTIF('Frontend Tasks'!$F$2:$F$500,A28)</f>
        <v>30</v>
      </c>
      <c r="C28" s="15" t="n">
        <f aca="false">COUNTIFS('Frontend Tasks'!$F$2:$F$500,A28,'Frontend Tasks'!$G$2:$G$500,"Done")</f>
        <v>0</v>
      </c>
      <c r="D28" s="15" t="n">
        <f aca="false">COUNTIFS('Frontend Tasks'!$F$2:$F$500,A28,'Frontend Tasks'!$G$2:$G$500,"In Progress")</f>
        <v>0</v>
      </c>
      <c r="E28" s="18" t="n">
        <f aca="false">IF(B28=0,0,C28/B28)</f>
        <v>0</v>
      </c>
    </row>
    <row r="29" customFormat="false" ht="15" hidden="false" customHeight="false" outlineLevel="0" collapsed="false">
      <c r="A29" s="16" t="s">
        <v>175</v>
      </c>
      <c r="B29" s="15" t="n">
        <f aca="false">COUNTIF('Frontend Tasks'!$F$2:$F$500,A29)</f>
        <v>3</v>
      </c>
      <c r="C29" s="15" t="n">
        <f aca="false">COUNTIFS('Frontend Tasks'!$F$2:$F$500,A29,'Frontend Tasks'!$G$2:$G$500,"Done")</f>
        <v>0</v>
      </c>
      <c r="D29" s="15" t="n">
        <f aca="false">COUNTIFS('Frontend Tasks'!$F$2:$F$500,A29,'Frontend Tasks'!$G$2:$G$500,"In Progress")</f>
        <v>0</v>
      </c>
      <c r="E29" s="18" t="n">
        <f aca="false">IF(B29=0,0,C29/B29)</f>
        <v>0</v>
      </c>
    </row>
    <row r="32" customFormat="false" ht="15" hidden="false" customHeight="false" outlineLevel="0" collapsed="false">
      <c r="A32" s="21" t="s">
        <v>526</v>
      </c>
    </row>
    <row r="33" customFormat="false" ht="15" hidden="false" customHeight="false" outlineLevel="0" collapsed="false">
      <c r="A33" s="11" t="s">
        <v>527</v>
      </c>
    </row>
    <row r="34" customFormat="false" ht="15" hidden="false" customHeight="false" outlineLevel="0" collapsed="false">
      <c r="A34" s="12" t="s">
        <v>528</v>
      </c>
      <c r="B34" s="13" t="s">
        <v>529</v>
      </c>
    </row>
    <row r="35" customFormat="false" ht="15" hidden="false" customHeight="false" outlineLevel="0" collapsed="false">
      <c r="A35" s="22"/>
      <c r="B35" s="15" t="str">
        <f aca="false">IF(A35="","",COUNTIFS('Frontend Tasks'!$H$2:$H$500,A35,'Frontend Tasks'!$G$2:$G$500,"Done"))</f>
        <v/>
      </c>
    </row>
    <row r="36" customFormat="false" ht="15" hidden="false" customHeight="false" outlineLevel="0" collapsed="false">
      <c r="A36" s="22"/>
      <c r="B36" s="15" t="str">
        <f aca="false">IF(A36="","",COUNTIFS('Frontend Tasks'!$H$2:$H$500,A36,'Frontend Tasks'!$G$2:$G$500,"Done"))</f>
        <v/>
      </c>
    </row>
    <row r="37" customFormat="false" ht="15" hidden="false" customHeight="false" outlineLevel="0" collapsed="false">
      <c r="A37" s="22"/>
      <c r="B37" s="15" t="str">
        <f aca="false">IF(A37="","",COUNTIFS('Frontend Tasks'!$H$2:$H$500,A37,'Frontend Tasks'!$G$2:$G$500,"Done"))</f>
        <v/>
      </c>
    </row>
    <row r="38" customFormat="false" ht="15" hidden="false" customHeight="false" outlineLevel="0" collapsed="false">
      <c r="A38" s="22"/>
      <c r="B38" s="15" t="str">
        <f aca="false">IF(A38="","",COUNTIFS('Frontend Tasks'!$H$2:$H$500,A38,'Frontend Tasks'!$G$2:$G$500,"Done"))</f>
        <v/>
      </c>
    </row>
    <row r="39" customFormat="false" ht="15" hidden="false" customHeight="false" outlineLevel="0" collapsed="false">
      <c r="A39" s="22"/>
      <c r="B39" s="15" t="str">
        <f aca="false">IF(A39="","",COUNTIFS('Frontend Tasks'!$H$2:$H$500,A39,'Frontend Tasks'!$G$2:$G$500,"Done"))</f>
        <v/>
      </c>
    </row>
    <row r="40" customFormat="false" ht="15" hidden="false" customHeight="false" outlineLevel="0" collapsed="false">
      <c r="A40" s="22"/>
      <c r="B40" s="15" t="str">
        <f aca="false">IF(A40="","",COUNTIFS('Frontend Tasks'!$H$2:$H$500,A40,'Frontend Tasks'!$G$2:$G$500,"Done"))</f>
        <v/>
      </c>
    </row>
    <row r="41" customFormat="false" ht="15" hidden="false" customHeight="false" outlineLevel="0" collapsed="false">
      <c r="A41" s="22"/>
      <c r="B41" s="15" t="str">
        <f aca="false">IF(A41="","",COUNTIFS('Frontend Tasks'!$H$2:$H$500,A41,'Frontend Tasks'!$G$2:$G$500,"Done"))</f>
        <v/>
      </c>
    </row>
    <row r="42" customFormat="false" ht="15" hidden="false" customHeight="false" outlineLevel="0" collapsed="false">
      <c r="A42" s="22"/>
      <c r="B42" s="15" t="str">
        <f aca="false">IF(A42="","",COUNTIFS('Frontend Tasks'!$H$2:$H$500,A42,'Frontend Tasks'!$G$2:$G$500,"Done"))</f>
        <v/>
      </c>
    </row>
    <row r="43" customFormat="false" ht="15" hidden="false" customHeight="false" outlineLevel="0" collapsed="false">
      <c r="A43" s="22"/>
      <c r="B43" s="15" t="str">
        <f aca="false">IF(A43="","",COUNTIFS('Frontend Tasks'!$H$2:$H$500,A43,'Frontend Tasks'!$G$2:$G$500,"Done"))</f>
        <v/>
      </c>
    </row>
    <row r="44" customFormat="false" ht="15" hidden="false" customHeight="false" outlineLevel="0" collapsed="false">
      <c r="A44" s="22"/>
      <c r="B44" s="15" t="str">
        <f aca="false">IF(A44="","",COUNTIFS('Frontend Tasks'!$H$2:$H$500,A44,'Frontend Tasks'!$G$2:$G$500,"Done"))</f>
        <v/>
      </c>
    </row>
    <row r="45" customFormat="false" ht="15" hidden="false" customHeight="false" outlineLevel="0" collapsed="false">
      <c r="A45" s="14" t="s">
        <v>530</v>
      </c>
      <c r="B45" s="15" t="n">
        <f aca="false">COUNTIFS('Frontend Tasks'!$G$2:$G$500,"Done",'Frontend Tasks'!$H$2:$H$500,"")</f>
        <v>0</v>
      </c>
    </row>
    <row r="46" customFormat="false" ht="15" hidden="false" customHeight="false" outlineLevel="0" collapsed="false">
      <c r="A46" s="11" t="s">
        <v>531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5"/>
  </cols>
  <sheetData>
    <row r="1" customFormat="false" ht="17.35" hidden="false" customHeight="false" outlineLevel="0" collapsed="false">
      <c r="A1" s="23" t="s">
        <v>532</v>
      </c>
    </row>
    <row r="3" customFormat="false" ht="31.5" hidden="false" customHeight="true" outlineLevel="0" collapsed="false">
      <c r="A3" s="4" t="s">
        <v>533</v>
      </c>
      <c r="B3" s="5" t="s">
        <v>534</v>
      </c>
    </row>
    <row r="4" customFormat="false" ht="31.5" hidden="false" customHeight="true" outlineLevel="0" collapsed="false">
      <c r="A4" s="4" t="s">
        <v>535</v>
      </c>
      <c r="B4" s="5" t="s">
        <v>536</v>
      </c>
    </row>
    <row r="5" customFormat="false" ht="18" hidden="false" customHeight="true" outlineLevel="0" collapsed="false">
      <c r="A5" s="4" t="s">
        <v>537</v>
      </c>
      <c r="B5" s="5" t="s">
        <v>538</v>
      </c>
    </row>
    <row r="6" customFormat="false" ht="31.5" hidden="false" customHeight="true" outlineLevel="0" collapsed="false">
      <c r="A6" s="4" t="s">
        <v>5</v>
      </c>
      <c r="B6" s="5" t="s">
        <v>539</v>
      </c>
    </row>
    <row r="7" customFormat="false" ht="31.5" hidden="false" customHeight="true" outlineLevel="0" collapsed="false">
      <c r="A7" s="4" t="s">
        <v>7</v>
      </c>
      <c r="B7" s="5" t="s">
        <v>540</v>
      </c>
    </row>
    <row r="8" customFormat="false" ht="18" hidden="false" customHeight="true" outlineLevel="0" collapsed="false">
      <c r="A8" s="4" t="s">
        <v>8</v>
      </c>
      <c r="B8" s="5" t="s">
        <v>541</v>
      </c>
    </row>
    <row r="9" customFormat="false" ht="31.5" hidden="false" customHeight="true" outlineLevel="0" collapsed="false">
      <c r="A9" s="4" t="s">
        <v>542</v>
      </c>
      <c r="B9" s="5" t="s">
        <v>543</v>
      </c>
    </row>
    <row r="10" customFormat="false" ht="31.5" hidden="false" customHeight="true" outlineLevel="0" collapsed="false">
      <c r="A10" s="4" t="s">
        <v>544</v>
      </c>
      <c r="B10" s="5" t="s">
        <v>545</v>
      </c>
    </row>
    <row r="11" customFormat="false" ht="31.5" hidden="false" customHeight="true" outlineLevel="0" collapsed="false">
      <c r="A11" s="4" t="s">
        <v>546</v>
      </c>
      <c r="B11" s="5" t="s">
        <v>547</v>
      </c>
    </row>
    <row r="12" customFormat="false" ht="31.5" hidden="false" customHeight="true" outlineLevel="0" collapsed="false">
      <c r="A12" s="4" t="s">
        <v>548</v>
      </c>
      <c r="B12" s="5" t="s">
        <v>549</v>
      </c>
    </row>
    <row r="13" customFormat="false" ht="31.5" hidden="false" customHeight="true" outlineLevel="0" collapsed="false">
      <c r="A13" s="4" t="s">
        <v>550</v>
      </c>
      <c r="B13" s="5" t="s">
        <v>551</v>
      </c>
    </row>
    <row r="14" customFormat="false" ht="31.5" hidden="false" customHeight="true" outlineLevel="0" collapsed="false">
      <c r="A14" s="4" t="s">
        <v>552</v>
      </c>
      <c r="B14" s="5" t="s">
        <v>553</v>
      </c>
    </row>
    <row r="15" customFormat="false" ht="15" hidden="false" customHeight="false" outlineLevel="0" collapsed="false">
      <c r="A15" s="24"/>
      <c r="B15"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2026-09-21T12:18:39Z</dcterms:created>
  <dc:creator>openpyxl</dc:creator>
  <dc:description/>
  <dc:language>en-US</dc:language>
  <cp:lastModifiedBy/>
  <dcterms:modified xsi:type="dcterms:W3CDTF">2026-09-21T12:18:39Z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